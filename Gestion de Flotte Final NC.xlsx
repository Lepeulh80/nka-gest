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xl/webextensions/webextension8.xml" ContentType="application/vnd.ms-office.webextension+xml"/>
  <Override PartName="/xl/webextensions/webextension9.xml" ContentType="application/vnd.ms-office.webextension+xml"/>
  <Override PartName="/xl/webextensions/webextension10.xml" ContentType="application/vnd.ms-office.webextension+xml"/>
  <Override PartName="/xl/webextensions/webextension1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mi\Desktop\"/>
    </mc:Choice>
  </mc:AlternateContent>
  <xr:revisionPtr revIDLastSave="0" documentId="13_ncr:1_{D29C27C5-80EE-4B6D-B567-2B24567B637A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ACCUEIL" sheetId="1" r:id="rId1"/>
    <sheet name="DASHBOARD" sheetId="2" r:id="rId2"/>
    <sheet name="SUPER-COMPARATIF" sheetId="3" r:id="rId3"/>
    <sheet name="CAMION 1" sheetId="4" r:id="rId4"/>
    <sheet name="CAMION 2" sheetId="5" r:id="rId5"/>
    <sheet name="CAMION 3" sheetId="6" r:id="rId6"/>
    <sheet name="CAMION 4" sheetId="7" r:id="rId7"/>
    <sheet name="CAMION 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H16" i="3"/>
  <c r="E45" i="8"/>
  <c r="D45" i="8"/>
  <c r="E45" i="7"/>
  <c r="D45" i="7"/>
  <c r="E45" i="6"/>
  <c r="E14" i="2" s="1" a="1"/>
  <c r="E14" i="2" s="1"/>
  <c r="Q5" i="2" s="1" a="1"/>
  <c r="Q5" i="2" s="1"/>
  <c r="D45" i="6"/>
  <c r="D14" i="2" s="1" a="1"/>
  <c r="D14" i="2" s="1"/>
  <c r="E45" i="5"/>
  <c r="F14" i="3" s="1"/>
  <c r="D45" i="5"/>
  <c r="E14" i="3" s="1"/>
  <c r="E44" i="4"/>
  <c r="F13" i="3" s="1"/>
  <c r="D44" i="4"/>
  <c r="E13" i="3" s="1"/>
  <c r="F17" i="3"/>
  <c r="E17" i="3"/>
  <c r="G17" i="3" s="1"/>
  <c r="F16" i="3"/>
  <c r="E16" i="3"/>
  <c r="G16" i="3" s="1"/>
  <c r="B25" i="2" a="1"/>
  <c r="B25" i="2" s="1"/>
  <c r="B24" i="2" a="1"/>
  <c r="B24" i="2"/>
  <c r="B23" i="2" a="1"/>
  <c r="B23" i="2"/>
  <c r="G16" i="2"/>
  <c r="E16" i="2" a="1"/>
  <c r="E16" i="2" s="1"/>
  <c r="F16" i="2" s="1"/>
  <c r="D16" i="2" a="1"/>
  <c r="D16" i="2"/>
  <c r="O15" i="2" a="1"/>
  <c r="O15" i="2" s="1"/>
  <c r="E15" i="2" a="1"/>
  <c r="E15" i="2"/>
  <c r="D15" i="2" a="1"/>
  <c r="D15" i="2"/>
  <c r="G15" i="2" s="1"/>
  <c r="O14" i="2" a="1"/>
  <c r="O14" i="2"/>
  <c r="O13" i="2" a="1"/>
  <c r="O13" i="2"/>
  <c r="O5" i="2" a="1"/>
  <c r="O5" i="2"/>
  <c r="O4" i="2" a="1"/>
  <c r="O4" i="2" s="1"/>
  <c r="O3" i="2" a="1"/>
  <c r="O3" i="2"/>
  <c r="F15" i="3" l="1"/>
  <c r="D13" i="2" a="1"/>
  <c r="D13" i="2" s="1"/>
  <c r="G14" i="3"/>
  <c r="H14" i="3" s="1"/>
  <c r="G13" i="3"/>
  <c r="H13" i="3" s="1"/>
  <c r="P4" i="2" a="1"/>
  <c r="P4" i="2" s="1"/>
  <c r="P14" i="2" a="1"/>
  <c r="P14" i="2" s="1"/>
  <c r="F14" i="2"/>
  <c r="R5" i="2" s="1" a="1"/>
  <c r="R5" i="2" s="1"/>
  <c r="P5" i="2" a="1"/>
  <c r="P5" i="2" s="1"/>
  <c r="P15" i="2" a="1"/>
  <c r="P15" i="2" s="1"/>
  <c r="G14" i="2"/>
  <c r="C25" i="2" s="1" a="1"/>
  <c r="C25" i="2" s="1"/>
  <c r="E13" i="2" a="1"/>
  <c r="E13" i="2" s="1"/>
  <c r="Q4" i="2" s="1" a="1"/>
  <c r="Q4" i="2" s="1"/>
  <c r="E15" i="3"/>
  <c r="G15" i="3" s="1"/>
  <c r="H15" i="3" s="1"/>
  <c r="D12" i="2" a="1"/>
  <c r="D12" i="2" s="1"/>
  <c r="F15" i="2"/>
  <c r="E12" i="2" a="1"/>
  <c r="E12" i="2" s="1"/>
  <c r="E9" i="3" l="1"/>
  <c r="C9" i="3"/>
  <c r="F13" i="2"/>
  <c r="F12" i="2"/>
  <c r="P13" i="2" a="1"/>
  <c r="P13" i="2" s="1"/>
  <c r="D19" i="2"/>
  <c r="B4" i="2" s="1"/>
  <c r="P3" i="2" a="1"/>
  <c r="P3" i="2" s="1"/>
  <c r="Q3" i="2" a="1"/>
  <c r="Q3" i="2" s="1"/>
  <c r="E19" i="2"/>
  <c r="E4" i="2" s="1"/>
  <c r="K4" i="2"/>
  <c r="D8" i="3"/>
  <c r="R3" i="2" l="1" a="1"/>
  <c r="R3" i="2" s="1"/>
  <c r="F19" i="2"/>
  <c r="H4" i="2" s="1"/>
  <c r="G12" i="2"/>
  <c r="C23" i="2" s="1" a="1"/>
  <c r="C23" i="2" s="1"/>
  <c r="R4" i="2" a="1"/>
  <c r="R4" i="2" s="1"/>
  <c r="G13" i="2"/>
  <c r="C24" i="2" s="1" a="1"/>
  <c r="C24" i="2" s="1"/>
  <c r="H9" i="2" l="1"/>
  <c r="G19" i="2"/>
  <c r="E9" i="2" s="1"/>
  <c r="B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<sst xmlns="http://schemas.openxmlformats.org/spreadsheetml/2006/main" count="276" uniqueCount="111">
  <si>
    <t>🚛 GESTION DE FLOTTE NC MALI</t>
  </si>
  <si>
    <t>📊 TABLEAU DE BORD</t>
  </si>
  <si>
    <t>🚚 FICHE CAMION 1</t>
  </si>
  <si>
    <t>🚚 FICHE CAMION 2</t>
  </si>
  <si>
    <t>🚚 FICHE CAMION 3</t>
  </si>
  <si>
    <t>🚚 FICHE CAMION 4</t>
  </si>
  <si>
    <t>🚚 FICHE CAMION 5</t>
  </si>
  <si>
    <t>🏆 COMPARATIF PERFORMANCE</t>
  </si>
  <si>
    <t>🚛 TABLEAU DE BORD - GESTION DE FLOTTE NC MALI</t>
  </si>
  <si>
    <t>🏠 ACCUEIL</t>
  </si>
  <si>
    <t xml:space="preserve">   TABLEAU DE BORD GÉNÉRAL</t>
  </si>
  <si>
    <t>Camion</t>
  </si>
  <si>
    <t>Revenu</t>
  </si>
  <si>
    <t>Dépense</t>
  </si>
  <si>
    <t>Bénéfice</t>
  </si>
  <si>
    <t>💰 REVENUS TOTAUX</t>
  </si>
  <si>
    <t>💳 DÉPENSES TOTALES</t>
  </si>
  <si>
    <t>📈 BÉNÉFICE NET</t>
  </si>
  <si>
    <t>🚚 CAMIONS ACTIFS</t>
  </si>
  <si>
    <t>🚚 CAMION 1</t>
  </si>
  <si>
    <t>📊 DASHBOARD</t>
  </si>
  <si>
    <t>🚚 CAMION 2</t>
  </si>
  <si>
    <t>🏆 COMPARATIF</t>
  </si>
  <si>
    <t>🚚 CAMION 3</t>
  </si>
  <si>
    <t>Total des revenus générés</t>
  </si>
  <si>
    <t>Total des dépenses</t>
  </si>
  <si>
    <t>Profit total de la flotte</t>
  </si>
  <si>
    <t>Véhicules en opération</t>
  </si>
  <si>
    <t>🚚 CAMION 4</t>
  </si>
  <si>
    <t>🚚 CAMION 5</t>
  </si>
  <si>
    <t xml:space="preserve">  🚚 CAMION 5</t>
  </si>
  <si>
    <t>🚚 CAMION</t>
  </si>
  <si>
    <t>👤 CHAUFFEUR</t>
  </si>
  <si>
    <t>💰 REVENU (FCFA)</t>
  </si>
  <si>
    <t>💳 DÉPENSE (FCFA)</t>
  </si>
  <si>
    <t>📊 BÉNÉFICE (FCFA)</t>
  </si>
  <si>
    <t>📈 MARGE %</t>
  </si>
  <si>
    <t>📊 TOTAL FLOTTE</t>
  </si>
  <si>
    <t>Marge %</t>
  </si>
  <si>
    <t>🏆 SUPER-COMPARATIF DE PERFORMANCE</t>
  </si>
  <si>
    <t>PODIUM DE LA RENTABILITÉ</t>
  </si>
  <si>
    <t>🥇 1er RANG</t>
  </si>
  <si>
    <t>🥈 2ème</t>
  </si>
  <si>
    <t>CAMION 2</t>
  </si>
  <si>
    <t>🥉 3ème</t>
  </si>
  <si>
    <t>CAMION 3</t>
  </si>
  <si>
    <t>CAMION 1</t>
  </si>
  <si>
    <t>RANG</t>
  </si>
  <si>
    <t>CAMION</t>
  </si>
  <si>
    <t>REVENU</t>
  </si>
  <si>
    <t>DÉPENSE</t>
  </si>
  <si>
    <t>BÉNÉFICE</t>
  </si>
  <si>
    <t>MARGE %</t>
  </si>
  <si>
    <t>CAMION 4</t>
  </si>
  <si>
    <t>CAMION 5</t>
  </si>
  <si>
    <t>SUIVI : CAMION 1</t>
  </si>
  <si>
    <t>DATE</t>
  </si>
  <si>
    <t>CATÉGORIE</t>
  </si>
  <si>
    <t>DESCRIPTION</t>
  </si>
  <si>
    <t>PAIEMENT</t>
  </si>
  <si>
    <t>⛽ CARBURANT</t>
  </si>
  <si>
    <t>Espèce</t>
  </si>
  <si>
    <t>🛣️ FRAIS DE ROUTE</t>
  </si>
  <si>
    <t>TOTAL</t>
  </si>
  <si>
    <t>REVENUE</t>
  </si>
  <si>
    <t>DEPENSE</t>
  </si>
  <si>
    <t>SUIVI : CAMION 2</t>
  </si>
  <si>
    <t>🔧 REPARATION</t>
  </si>
  <si>
    <t>SUIVI : CAMION 3</t>
  </si>
  <si>
    <t>SUIVI : CAMION 4</t>
  </si>
  <si>
    <t>SUIVI : CAMION 5</t>
  </si>
  <si>
    <t xml:space="preserve">🚚  Renauld Rouge : Moussa Kone 2 </t>
  </si>
  <si>
    <t>🚚 Renauld Blanc : Moussa Kone 1</t>
  </si>
  <si>
    <t>Moussa Kone 1</t>
  </si>
  <si>
    <t>Moussa Kone 2</t>
  </si>
  <si>
    <t>Aller-Retour</t>
  </si>
  <si>
    <t>1300 L</t>
  </si>
  <si>
    <t>1100 L</t>
  </si>
  <si>
    <t xml:space="preserve">400 L Suplémentaire </t>
  </si>
  <si>
    <t>4 Pneus *110 000</t>
  </si>
  <si>
    <t xml:space="preserve">Douane pour caroserie pas dans les normes </t>
  </si>
  <si>
    <t>Frais de réparation camion</t>
  </si>
  <si>
    <t>200 L Suplementaire</t>
  </si>
  <si>
    <t>Arrangement Police</t>
  </si>
  <si>
    <t>⚙️ AUTRES</t>
  </si>
  <si>
    <t>Révenu</t>
  </si>
  <si>
    <t>💰 SALAIRE</t>
  </si>
  <si>
    <t>2 mois de Salaire</t>
  </si>
  <si>
    <t>🏅 PRIME</t>
  </si>
  <si>
    <t>1 Voyage</t>
  </si>
  <si>
    <t>1Voyages</t>
  </si>
  <si>
    <t>🔧EPARATION</t>
  </si>
  <si>
    <t>Eau bloutc</t>
  </si>
  <si>
    <t>🛠️ ENTRETIEN</t>
  </si>
  <si>
    <t>Air</t>
  </si>
  <si>
    <t>1mois</t>
  </si>
  <si>
    <t>1 Pneu</t>
  </si>
  <si>
    <t>1 mois salaire</t>
  </si>
  <si>
    <t>1 voyage</t>
  </si>
  <si>
    <t>1 mois de salaire qui était passé</t>
  </si>
  <si>
    <t>1voyage</t>
  </si>
  <si>
    <t>Vignette</t>
  </si>
  <si>
    <t>Ration</t>
  </si>
  <si>
    <t>Jante</t>
  </si>
  <si>
    <t>Huile Moteur</t>
  </si>
  <si>
    <t>Climatisation</t>
  </si>
  <si>
    <t>vignette</t>
  </si>
  <si>
    <t>vidange</t>
  </si>
  <si>
    <t>27/0/2026</t>
  </si>
  <si>
    <t>Pneus</t>
  </si>
  <si>
    <t>Montage Pneu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</si>
</sst>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FCFA&quot;"/>
    <numFmt numFmtId="165" formatCode="0.0%"/>
    <numFmt numFmtId="166" formatCode="#\ ##0"/>
  </numFmts>
  <fonts count="5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8FAFC"/>
      <name val="Calibri"/>
      <scheme val="minor"/>
    </font>
    <font>
      <sz val="11"/>
      <color rgb="FFF8FAFC"/>
      <name val="Calibri"/>
      <scheme val="minor"/>
    </font>
    <font>
      <b/>
      <sz val="11"/>
      <color rgb="FF0000FF"/>
      <name val="Calibri"/>
    </font>
    <font>
      <b/>
      <sz val="11"/>
      <color rgb="FFFFFFFF"/>
      <name val="Calibri"/>
    </font>
    <font>
      <b/>
      <sz val="22"/>
      <color rgb="FF38BDF8"/>
      <name val="Calibri"/>
      <scheme val="minor"/>
    </font>
    <font>
      <sz val="11"/>
      <color rgb="FF4ADE80"/>
      <name val="Calibri"/>
      <scheme val="minor"/>
    </font>
    <font>
      <b/>
      <sz val="11"/>
      <color theme="1"/>
      <name val="Berlin Sans FB Demi"/>
    </font>
    <font>
      <b/>
      <sz val="12"/>
      <color rgb="FFF8FAFC"/>
      <name val="Berlin Sans FB Demi"/>
    </font>
    <font>
      <b/>
      <sz val="14"/>
      <color rgb="FFCD7F32"/>
      <name val="Berlin Sans FB Demi"/>
    </font>
    <font>
      <b/>
      <sz val="14"/>
      <color rgb="FFC0C0C0"/>
      <name val="Berlin Sans FB Demi"/>
    </font>
    <font>
      <b/>
      <sz val="14"/>
      <color rgb="FFFBBF24"/>
      <name val="Berlin Sans FB Demi"/>
    </font>
    <font>
      <b/>
      <sz val="11"/>
      <color theme="0"/>
      <name val="Arial Black"/>
    </font>
    <font>
      <sz val="11"/>
      <color theme="0"/>
      <name val="Arial Black"/>
    </font>
    <font>
      <b/>
      <sz val="12"/>
      <color rgb="FFF8FAFC"/>
      <name val="Arial Black"/>
    </font>
    <font>
      <b/>
      <sz val="11"/>
      <color rgb="FFF8FAFC"/>
      <name val="Arial Black"/>
    </font>
    <font>
      <sz val="11"/>
      <color rgb="FFF8FAFC"/>
      <name val="Arial Black"/>
    </font>
    <font>
      <b/>
      <sz val="11"/>
      <color rgb="FF38BDF8"/>
      <name val="Calibri"/>
      <scheme val="minor"/>
    </font>
    <font>
      <sz val="12"/>
      <color rgb="FFF8FAFC"/>
      <name val="Arial Black"/>
    </font>
    <font>
      <b/>
      <sz val="14"/>
      <color rgb="FF0000FF"/>
      <name val="Calibri"/>
    </font>
    <font>
      <b/>
      <sz val="11"/>
      <color theme="1"/>
      <name val="Calibri"/>
      <scheme val="minor"/>
    </font>
    <font>
      <b/>
      <sz val="14"/>
      <color rgb="FFFBBF24"/>
      <name val="Arial Black"/>
    </font>
    <font>
      <b/>
      <sz val="48"/>
      <color rgb="FF38BDF8"/>
      <name val="Calibri"/>
      <scheme val="minor"/>
    </font>
    <font>
      <sz val="11"/>
      <color theme="0"/>
      <name val="Calibri"/>
      <scheme val="minor"/>
    </font>
    <font>
      <b/>
      <sz val="22"/>
      <color rgb="FFFFFFFF"/>
      <name val="Aptos Narrow"/>
    </font>
    <font>
      <b/>
      <sz val="11"/>
      <color rgb="FFFFFFFF"/>
      <name val="Aptos Narrow"/>
    </font>
    <font>
      <sz val="14.65"/>
      <color theme="1"/>
      <name val="Calibri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sz val="14"/>
      <color rgb="FF006100"/>
      <name val="Aptos Narrow"/>
      <family val="2"/>
    </font>
    <font>
      <sz val="14"/>
      <color rgb="FFA6A6A6"/>
      <name val="Aptos Narrow"/>
      <family val="2"/>
    </font>
    <font>
      <sz val="14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sz val="16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sz val="18"/>
      <color theme="1"/>
      <name val="Calibri"/>
      <family val="2"/>
      <scheme val="minor"/>
    </font>
    <font>
      <b/>
      <sz val="26"/>
      <color rgb="FFC00000"/>
      <name val="Aptos Narrow"/>
      <family val="2"/>
    </font>
    <font>
      <sz val="26"/>
      <color theme="1"/>
      <name val="Calibri"/>
      <family val="2"/>
      <scheme val="minor"/>
    </font>
    <font>
      <sz val="26"/>
      <color theme="1"/>
      <name val="Calibri"/>
      <family val="2"/>
    </font>
    <font>
      <b/>
      <sz val="26"/>
      <color rgb="FF385723"/>
      <name val="Aptos Narrow"/>
      <family val="2"/>
    </font>
    <font>
      <b/>
      <sz val="26"/>
      <color rgb="FF203864"/>
      <name val="Aptos Narrow"/>
      <family val="2"/>
    </font>
    <font>
      <b/>
      <sz val="28"/>
      <color rgb="FFC65911"/>
      <name val="Aptos Narrow"/>
      <family val="2"/>
    </font>
    <font>
      <sz val="28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rgb="FF595959"/>
      <name val="Aptos Narrow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</font>
    <font>
      <b/>
      <sz val="22"/>
      <color rgb="FF1F4E78"/>
      <name val="Imprint MT Shadow"/>
      <family val="5"/>
    </font>
    <font>
      <b/>
      <sz val="20"/>
      <color rgb="FF1F4E78"/>
      <name val="Imprint MT Shadow"/>
      <family val="5"/>
    </font>
  </fonts>
  <fills count="3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7E6E6"/>
      </patternFill>
    </fill>
    <fill>
      <patternFill patternType="solid">
        <fgColor rgb="FFC00000"/>
      </patternFill>
    </fill>
    <fill>
      <patternFill patternType="solid">
        <fgColor theme="0"/>
      </patternFill>
    </fill>
    <fill>
      <patternFill patternType="solid">
        <fgColor rgb="FF334155"/>
      </patternFill>
    </fill>
    <fill>
      <patternFill patternType="solid">
        <fgColor theme="8" tint="-0.249977111117893"/>
        <bgColor indexed="65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FFFF00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2" tint="-0.49998474074526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4472C4"/>
      </patternFill>
    </fill>
    <fill>
      <patternFill patternType="solid">
        <fgColor rgb="FFBF9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1F4E79"/>
        <bgColor indexed="64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/>
      <diagonal/>
    </border>
    <border>
      <left style="thin">
        <color rgb="FF475569"/>
      </left>
      <right style="thin">
        <color rgb="FF475569"/>
      </right>
      <top/>
      <bottom style="thin">
        <color rgb="FF475569"/>
      </bottom>
      <diagonal/>
    </border>
    <border>
      <left style="thin">
        <color rgb="FF1E293B"/>
      </left>
      <right style="thin">
        <color rgb="FF1E293B"/>
      </right>
      <top/>
      <bottom style="thin">
        <color rgb="FF1E293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E293B"/>
      </left>
      <right style="thin">
        <color rgb="FF1E293B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1E293B"/>
      </left>
      <right/>
      <top style="thin">
        <color rgb="FF000000"/>
      </top>
      <bottom/>
      <diagonal/>
    </border>
    <border>
      <left/>
      <right/>
      <top/>
      <bottom style="thin">
        <color rgb="FF475569"/>
      </bottom>
      <diagonal/>
    </border>
    <border>
      <left/>
      <right/>
      <top style="thick">
        <color rgb="FF70AD47"/>
      </top>
      <bottom/>
      <diagonal/>
    </border>
    <border>
      <left/>
      <right style="thick">
        <color rgb="FF70AD47"/>
      </right>
      <top style="thick">
        <color rgb="FF70AD47"/>
      </top>
      <bottom/>
      <diagonal/>
    </border>
    <border>
      <left style="thick">
        <color rgb="FFC55A11"/>
      </left>
      <right/>
      <top style="thick">
        <color rgb="FFC55A11"/>
      </top>
      <bottom/>
      <diagonal/>
    </border>
    <border>
      <left/>
      <right/>
      <top style="thick">
        <color rgb="FFC55A11"/>
      </top>
      <bottom/>
      <diagonal/>
    </border>
    <border>
      <left/>
      <right style="thick">
        <color rgb="FFC55A11"/>
      </right>
      <top style="thick">
        <color rgb="FFC55A11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 style="thick">
        <color rgb="FFBF9000"/>
      </left>
      <right/>
      <top style="thick">
        <color rgb="FFBF9000"/>
      </top>
      <bottom/>
      <diagonal/>
    </border>
    <border>
      <left/>
      <right/>
      <top style="thick">
        <color rgb="FFBF9000"/>
      </top>
      <bottom/>
      <diagonal/>
    </border>
    <border>
      <left/>
      <right style="thick">
        <color rgb="FFBF9000"/>
      </right>
      <top style="thick">
        <color rgb="FFBF9000"/>
      </top>
      <bottom/>
      <diagonal/>
    </border>
    <border>
      <left/>
      <right style="thick">
        <color rgb="FF70AD47"/>
      </right>
      <top/>
      <bottom/>
      <diagonal/>
    </border>
    <border>
      <left style="thick">
        <color rgb="FFC55A11"/>
      </left>
      <right/>
      <top/>
      <bottom/>
      <diagonal/>
    </border>
    <border>
      <left/>
      <right style="thick">
        <color rgb="FFC55A11"/>
      </right>
      <top/>
      <bottom/>
      <diagonal/>
    </border>
    <border>
      <left style="thick">
        <color rgb="FF4472C4"/>
      </left>
      <right/>
      <top/>
      <bottom/>
      <diagonal/>
    </border>
    <border>
      <left/>
      <right style="thick">
        <color rgb="FF4472C4"/>
      </right>
      <top/>
      <bottom/>
      <diagonal/>
    </border>
    <border>
      <left style="thick">
        <color rgb="FFBF9000"/>
      </left>
      <right/>
      <top/>
      <bottom/>
      <diagonal/>
    </border>
    <border>
      <left/>
      <right style="thick">
        <color rgb="FFBF9000"/>
      </right>
      <top/>
      <bottom/>
      <diagonal/>
    </border>
    <border>
      <left/>
      <right/>
      <top/>
      <bottom style="thick">
        <color rgb="FF70AD47"/>
      </bottom>
      <diagonal/>
    </border>
    <border>
      <left/>
      <right style="thick">
        <color rgb="FF70AD47"/>
      </right>
      <top/>
      <bottom style="thick">
        <color rgb="FF70AD47"/>
      </bottom>
      <diagonal/>
    </border>
    <border>
      <left style="thick">
        <color rgb="FFC55A11"/>
      </left>
      <right/>
      <top/>
      <bottom style="thick">
        <color rgb="FFC55A11"/>
      </bottom>
      <diagonal/>
    </border>
    <border>
      <left/>
      <right/>
      <top/>
      <bottom style="thick">
        <color rgb="FFC55A11"/>
      </bottom>
      <diagonal/>
    </border>
    <border>
      <left/>
      <right style="thick">
        <color rgb="FFC55A11"/>
      </right>
      <top/>
      <bottom style="thick">
        <color rgb="FFC55A11"/>
      </bottom>
      <diagonal/>
    </border>
    <border>
      <left style="thick">
        <color rgb="FF4472C4"/>
      </left>
      <right/>
      <top/>
      <bottom style="thick">
        <color rgb="FF4472C4"/>
      </bottom>
      <diagonal/>
    </border>
    <border>
      <left/>
      <right/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rgb="FFBF9000"/>
      </left>
      <right/>
      <top/>
      <bottom style="thick">
        <color rgb="FFBF9000"/>
      </bottom>
      <diagonal/>
    </border>
    <border>
      <left/>
      <right/>
      <top/>
      <bottom style="thick">
        <color rgb="FFBF9000"/>
      </bottom>
      <diagonal/>
    </border>
    <border>
      <left/>
      <right style="thick">
        <color rgb="FFBF9000"/>
      </right>
      <top/>
      <bottom style="thick">
        <color rgb="FFBF9000"/>
      </bottom>
      <diagonal/>
    </border>
    <border>
      <left/>
      <right/>
      <top/>
      <bottom style="thick">
        <color rgb="FF1A252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ck">
        <color rgb="FF1A252F"/>
      </top>
      <bottom style="thick">
        <color rgb="FF1A252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164">
    <xf numFmtId="0" fontId="0" fillId="0" borderId="1" xfId="0"/>
    <xf numFmtId="0" fontId="0" fillId="0" borderId="1" xfId="0" applyAlignment="1">
      <alignment horizontal="center" vertical="center"/>
    </xf>
    <xf numFmtId="0" fontId="0" fillId="8" borderId="1" xfId="0" applyFill="1"/>
    <xf numFmtId="0" fontId="21" fillId="12" borderId="5" xfId="0" applyFont="1" applyFill="1" applyBorder="1" applyAlignment="1">
      <alignment horizontal="center" vertical="center"/>
    </xf>
    <xf numFmtId="0" fontId="21" fillId="13" borderId="5" xfId="0" applyFont="1" applyFill="1" applyBorder="1" applyAlignment="1">
      <alignment horizontal="center" vertical="center"/>
    </xf>
    <xf numFmtId="0" fontId="21" fillId="14" borderId="5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3" fillId="2" borderId="1" xfId="0" applyFont="1" applyFill="1" applyAlignment="1">
      <alignment horizontal="left" vertical="center"/>
    </xf>
    <xf numFmtId="0" fontId="0" fillId="3" borderId="1" xfId="0" applyFill="1"/>
    <xf numFmtId="0" fontId="0" fillId="2" borderId="1" xfId="0" applyFill="1"/>
    <xf numFmtId="0" fontId="0" fillId="16" borderId="1" xfId="0" applyFill="1"/>
    <xf numFmtId="0" fontId="9" fillId="8" borderId="1" xfId="0" applyFont="1" applyFill="1"/>
    <xf numFmtId="0" fontId="13" fillId="8" borderId="1" xfId="0" applyFont="1" applyFill="1" applyAlignment="1">
      <alignment horizontal="center" vertical="center"/>
    </xf>
    <xf numFmtId="0" fontId="12" fillId="8" borderId="1" xfId="0" applyFont="1" applyFill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1" fillId="8" borderId="1" xfId="0" applyFont="1" applyFill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0" fillId="6" borderId="1" xfId="0" applyFill="1"/>
    <xf numFmtId="0" fontId="3" fillId="7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0" fillId="3" borderId="1" xfId="0" applyFill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64" fontId="15" fillId="5" borderId="3" xfId="0" applyNumberFormat="1" applyFont="1" applyFill="1" applyBorder="1" applyAlignment="1">
      <alignment vertical="center"/>
    </xf>
    <xf numFmtId="0" fontId="22" fillId="17" borderId="3" xfId="0" applyFont="1" applyFill="1" applyBorder="1" applyAlignment="1">
      <alignment horizontal="center" vertical="center"/>
    </xf>
    <xf numFmtId="0" fontId="22" fillId="17" borderId="9" xfId="0" applyFont="1" applyFill="1" applyBorder="1" applyAlignment="1">
      <alignment horizontal="center" vertical="center"/>
    </xf>
    <xf numFmtId="14" fontId="4" fillId="3" borderId="1" xfId="0" applyNumberFormat="1" applyFont="1" applyFill="1"/>
    <xf numFmtId="164" fontId="4" fillId="3" borderId="2" xfId="0" applyNumberFormat="1" applyFont="1" applyFill="1" applyBorder="1"/>
    <xf numFmtId="0" fontId="3" fillId="7" borderId="3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164" fontId="20" fillId="5" borderId="10" xfId="0" applyNumberFormat="1" applyFont="1" applyFill="1" applyBorder="1" applyAlignment="1">
      <alignment vertical="center"/>
    </xf>
    <xf numFmtId="0" fontId="0" fillId="2" borderId="1" xfId="0" applyFill="1" applyAlignment="1">
      <alignment horizontal="center" vertical="center"/>
    </xf>
    <xf numFmtId="0" fontId="0" fillId="3" borderId="1" xfId="0" applyFill="1" applyAlignment="1">
      <alignment horizontal="center" vertical="center"/>
    </xf>
    <xf numFmtId="0" fontId="3" fillId="2" borderId="1" xfId="0" applyFont="1" applyFill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164" fontId="18" fillId="5" borderId="8" xfId="0" applyNumberFormat="1" applyFont="1" applyFill="1" applyBorder="1" applyAlignment="1">
      <alignment horizontal="center" vertical="center"/>
    </xf>
    <xf numFmtId="14" fontId="0" fillId="6" borderId="3" xfId="0" applyNumberForma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164" fontId="0" fillId="6" borderId="3" xfId="0" applyNumberFormat="1" applyFill="1" applyBorder="1" applyAlignment="1">
      <alignment vertical="center"/>
    </xf>
    <xf numFmtId="164" fontId="18" fillId="5" borderId="8" xfId="0" applyNumberFormat="1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9" fillId="7" borderId="1" xfId="0" applyFont="1" applyFill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164" fontId="20" fillId="5" borderId="2" xfId="0" applyNumberFormat="1" applyFont="1" applyFill="1" applyBorder="1" applyAlignment="1">
      <alignment horizontal="center" vertical="center"/>
    </xf>
    <xf numFmtId="0" fontId="29" fillId="31" borderId="49" xfId="0" applyFont="1" applyFill="1" applyBorder="1" applyAlignment="1">
      <alignment horizontal="center" vertical="center"/>
    </xf>
    <xf numFmtId="0" fontId="30" fillId="32" borderId="50" xfId="0" applyFont="1" applyFill="1" applyBorder="1" applyAlignment="1">
      <alignment horizontal="center" vertical="center"/>
    </xf>
    <xf numFmtId="10" fontId="30" fillId="32" borderId="50" xfId="0" applyNumberFormat="1" applyFont="1" applyFill="1" applyBorder="1" applyAlignment="1">
      <alignment horizontal="center" vertical="center"/>
    </xf>
    <xf numFmtId="0" fontId="30" fillId="34" borderId="50" xfId="0" applyFont="1" applyFill="1" applyBorder="1" applyAlignment="1">
      <alignment horizontal="center" vertical="center"/>
    </xf>
    <xf numFmtId="10" fontId="30" fillId="34" borderId="50" xfId="0" applyNumberFormat="1" applyFont="1" applyFill="1" applyBorder="1" applyAlignment="1">
      <alignment horizontal="center" vertical="center"/>
    </xf>
    <xf numFmtId="0" fontId="32" fillId="34" borderId="50" xfId="0" applyFont="1" applyFill="1" applyBorder="1" applyAlignment="1">
      <alignment horizontal="center" vertical="center"/>
    </xf>
    <xf numFmtId="10" fontId="32" fillId="34" borderId="50" xfId="0" applyNumberFormat="1" applyFont="1" applyFill="1" applyBorder="1" applyAlignment="1">
      <alignment horizontal="center" vertical="center"/>
    </xf>
    <xf numFmtId="0" fontId="32" fillId="32" borderId="50" xfId="0" applyFont="1" applyFill="1" applyBorder="1" applyAlignment="1">
      <alignment horizontal="center" vertical="center"/>
    </xf>
    <xf numFmtId="10" fontId="32" fillId="32" borderId="50" xfId="0" applyNumberFormat="1" applyFont="1" applyFill="1" applyBorder="1" applyAlignment="1">
      <alignment horizontal="center" vertical="center"/>
    </xf>
    <xf numFmtId="0" fontId="33" fillId="3" borderId="1" xfId="0" applyFont="1" applyFill="1" applyAlignment="1">
      <alignment horizontal="center" vertical="center"/>
    </xf>
    <xf numFmtId="0" fontId="33" fillId="8" borderId="1" xfId="0" applyFont="1" applyFill="1" applyAlignment="1">
      <alignment horizontal="center" vertical="center"/>
    </xf>
    <xf numFmtId="166" fontId="36" fillId="19" borderId="51" xfId="0" applyNumberFormat="1" applyFont="1" applyFill="1" applyBorder="1" applyAlignment="1">
      <alignment horizontal="center" vertical="center"/>
    </xf>
    <xf numFmtId="10" fontId="36" fillId="19" borderId="51" xfId="0" applyNumberFormat="1" applyFont="1" applyFill="1" applyBorder="1" applyAlignment="1">
      <alignment horizontal="center" vertical="center"/>
    </xf>
    <xf numFmtId="0" fontId="0" fillId="2" borderId="55" xfId="0" applyFill="1" applyBorder="1"/>
    <xf numFmtId="0" fontId="5" fillId="4" borderId="56" xfId="0" applyFont="1" applyFill="1" applyBorder="1" applyAlignment="1">
      <alignment horizontal="left" vertical="center"/>
    </xf>
    <xf numFmtId="0" fontId="5" fillId="4" borderId="57" xfId="0" applyFont="1" applyFill="1" applyBorder="1" applyAlignment="1">
      <alignment horizontal="left" vertical="center"/>
    </xf>
    <xf numFmtId="0" fontId="6" fillId="5" borderId="58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left" vertical="center"/>
    </xf>
    <xf numFmtId="3" fontId="31" fillId="33" borderId="50" xfId="0" applyNumberFormat="1" applyFont="1" applyFill="1" applyBorder="1" applyAlignment="1">
      <alignment horizontal="center" vertical="center"/>
    </xf>
    <xf numFmtId="3" fontId="30" fillId="32" borderId="50" xfId="0" applyNumberFormat="1" applyFont="1" applyFill="1" applyBorder="1" applyAlignment="1">
      <alignment horizontal="center" vertical="center"/>
    </xf>
    <xf numFmtId="3" fontId="30" fillId="34" borderId="50" xfId="0" applyNumberFormat="1" applyFont="1" applyFill="1" applyBorder="1" applyAlignment="1">
      <alignment horizontal="center" vertical="center"/>
    </xf>
    <xf numFmtId="3" fontId="32" fillId="34" borderId="50" xfId="0" applyNumberFormat="1" applyFont="1" applyFill="1" applyBorder="1" applyAlignment="1">
      <alignment horizontal="center" vertical="center"/>
    </xf>
    <xf numFmtId="3" fontId="32" fillId="32" borderId="50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6" fillId="19" borderId="1" xfId="0" applyFont="1" applyFill="1" applyAlignment="1">
      <alignment horizontal="center" vertical="center"/>
    </xf>
    <xf numFmtId="0" fontId="7" fillId="3" borderId="1" xfId="0" applyFont="1" applyFill="1" applyAlignment="1">
      <alignment horizontal="center" vertical="center"/>
    </xf>
    <xf numFmtId="0" fontId="27" fillId="20" borderId="20" xfId="0" applyFont="1" applyFill="1" applyBorder="1" applyAlignment="1">
      <alignment horizontal="center"/>
    </xf>
    <xf numFmtId="0" fontId="28" fillId="8" borderId="20" xfId="0" applyFont="1" applyFill="1" applyBorder="1"/>
    <xf numFmtId="0" fontId="28" fillId="8" borderId="21" xfId="0" applyFont="1" applyFill="1" applyBorder="1"/>
    <xf numFmtId="0" fontId="41" fillId="24" borderId="1" xfId="0" applyFont="1" applyFill="1" applyAlignment="1">
      <alignment horizontal="center" vertical="center"/>
    </xf>
    <xf numFmtId="0" fontId="39" fillId="8" borderId="1" xfId="0" applyFont="1" applyFill="1"/>
    <xf numFmtId="0" fontId="40" fillId="8" borderId="31" xfId="0" applyFont="1" applyFill="1" applyBorder="1"/>
    <xf numFmtId="0" fontId="39" fillId="3" borderId="1" xfId="0" applyFont="1" applyFill="1"/>
    <xf numFmtId="0" fontId="46" fillId="24" borderId="38" xfId="0" applyFont="1" applyFill="1" applyBorder="1" applyAlignment="1">
      <alignment horizontal="center" vertical="center"/>
    </xf>
    <xf numFmtId="0" fontId="47" fillId="8" borderId="38" xfId="0" applyFont="1" applyFill="1" applyBorder="1" applyAlignment="1">
      <alignment vertical="center"/>
    </xf>
    <xf numFmtId="0" fontId="47" fillId="8" borderId="39" xfId="0" applyFont="1" applyFill="1" applyBorder="1" applyAlignment="1">
      <alignment vertical="center"/>
    </xf>
    <xf numFmtId="0" fontId="27" fillId="21" borderId="22" xfId="0" applyFont="1" applyFill="1" applyBorder="1" applyAlignment="1">
      <alignment horizontal="center"/>
    </xf>
    <xf numFmtId="0" fontId="28" fillId="8" borderId="23" xfId="0" applyFont="1" applyFill="1" applyBorder="1"/>
    <xf numFmtId="0" fontId="28" fillId="8" borderId="24" xfId="0" applyFont="1" applyFill="1" applyBorder="1"/>
    <xf numFmtId="0" fontId="38" fillId="25" borderId="32" xfId="0" applyFont="1" applyFill="1" applyBorder="1" applyAlignment="1">
      <alignment horizontal="center" vertical="center"/>
    </xf>
    <xf numFmtId="0" fontId="40" fillId="8" borderId="33" xfId="0" applyFont="1" applyFill="1" applyBorder="1"/>
    <xf numFmtId="0" fontId="40" fillId="8" borderId="32" xfId="0" applyFont="1" applyFill="1" applyBorder="1"/>
    <xf numFmtId="0" fontId="46" fillId="25" borderId="40" xfId="0" applyFont="1" applyFill="1" applyBorder="1" applyAlignment="1">
      <alignment horizontal="center" vertical="center"/>
    </xf>
    <xf numFmtId="0" fontId="47" fillId="8" borderId="41" xfId="0" applyFont="1" applyFill="1" applyBorder="1" applyAlignment="1">
      <alignment vertical="center"/>
    </xf>
    <xf numFmtId="0" fontId="47" fillId="8" borderId="42" xfId="0" applyFont="1" applyFill="1" applyBorder="1" applyAlignment="1">
      <alignment vertical="center"/>
    </xf>
    <xf numFmtId="0" fontId="27" fillId="22" borderId="25" xfId="0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42" fillId="26" borderId="34" xfId="0" applyFont="1" applyFill="1" applyBorder="1" applyAlignment="1">
      <alignment horizontal="center" vertical="center"/>
    </xf>
    <xf numFmtId="0" fontId="39" fillId="0" borderId="1" xfId="0" applyFont="1"/>
    <xf numFmtId="0" fontId="39" fillId="0" borderId="35" xfId="0" applyFont="1" applyBorder="1"/>
    <xf numFmtId="0" fontId="39" fillId="0" borderId="34" xfId="0" applyFont="1" applyBorder="1"/>
    <xf numFmtId="0" fontId="46" fillId="26" borderId="43" xfId="0" applyFont="1" applyFill="1" applyBorder="1" applyAlignment="1">
      <alignment horizontal="center" vertical="center"/>
    </xf>
    <xf numFmtId="0" fontId="48" fillId="0" borderId="44" xfId="0" applyFont="1" applyBorder="1" applyAlignment="1">
      <alignment vertical="center"/>
    </xf>
    <xf numFmtId="0" fontId="48" fillId="0" borderId="45" xfId="0" applyFont="1" applyBorder="1" applyAlignment="1">
      <alignment vertical="center"/>
    </xf>
    <xf numFmtId="0" fontId="27" fillId="23" borderId="28" xfId="0" applyFont="1" applyFill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43" fillId="27" borderId="36" xfId="0" applyFont="1" applyFill="1" applyBorder="1" applyAlignment="1">
      <alignment horizontal="center" vertical="center"/>
    </xf>
    <xf numFmtId="0" fontId="44" fillId="0" borderId="1" xfId="0" applyFont="1"/>
    <xf numFmtId="0" fontId="44" fillId="0" borderId="37" xfId="0" applyFont="1" applyBorder="1"/>
    <xf numFmtId="0" fontId="44" fillId="0" borderId="36" xfId="0" applyFont="1" applyBorder="1"/>
    <xf numFmtId="0" fontId="46" fillId="27" borderId="46" xfId="0" applyFont="1" applyFill="1" applyBorder="1" applyAlignment="1">
      <alignment horizontal="center" vertical="center"/>
    </xf>
    <xf numFmtId="0" fontId="48" fillId="0" borderId="47" xfId="0" applyFont="1" applyBorder="1" applyAlignment="1">
      <alignment vertical="center"/>
    </xf>
    <xf numFmtId="0" fontId="48" fillId="0" borderId="48" xfId="0" applyFont="1" applyBorder="1" applyAlignment="1">
      <alignment vertical="center"/>
    </xf>
    <xf numFmtId="0" fontId="34" fillId="28" borderId="53" xfId="0" applyFont="1" applyFill="1" applyBorder="1" applyAlignment="1">
      <alignment horizontal="center" vertical="center"/>
    </xf>
    <xf numFmtId="0" fontId="35" fillId="8" borderId="53" xfId="0" applyFont="1" applyFill="1" applyBorder="1"/>
    <xf numFmtId="0" fontId="45" fillId="8" borderId="54" xfId="0" applyFont="1" applyFill="1" applyBorder="1"/>
    <xf numFmtId="0" fontId="34" fillId="29" borderId="52" xfId="0" applyFont="1" applyFill="1" applyBorder="1" applyAlignment="1">
      <alignment horizontal="center" vertical="center"/>
    </xf>
    <xf numFmtId="0" fontId="34" fillId="30" borderId="52" xfId="0" applyFont="1" applyFill="1" applyBorder="1" applyAlignment="1">
      <alignment horizontal="center" vertical="center"/>
    </xf>
    <xf numFmtId="0" fontId="35" fillId="0" borderId="53" xfId="0" applyFont="1" applyBorder="1"/>
    <xf numFmtId="0" fontId="35" fillId="0" borderId="54" xfId="0" applyFont="1" applyBorder="1"/>
    <xf numFmtId="0" fontId="36" fillId="19" borderId="51" xfId="0" applyFont="1" applyFill="1" applyBorder="1" applyAlignment="1">
      <alignment horizontal="center" vertical="center"/>
    </xf>
    <xf numFmtId="0" fontId="37" fillId="19" borderId="51" xfId="0" applyFont="1" applyFill="1" applyBorder="1" applyAlignment="1">
      <alignment horizontal="center" vertical="center"/>
    </xf>
    <xf numFmtId="0" fontId="49" fillId="35" borderId="1" xfId="0" applyFont="1" applyFill="1" applyAlignment="1">
      <alignment horizontal="center" vertical="center"/>
    </xf>
    <xf numFmtId="0" fontId="21" fillId="18" borderId="11" xfId="0" applyFont="1" applyFill="1" applyBorder="1" applyAlignment="1">
      <alignment horizontal="center" vertical="center"/>
    </xf>
    <xf numFmtId="0" fontId="21" fillId="18" borderId="12" xfId="0" applyFont="1" applyFill="1" applyBorder="1" applyAlignment="1">
      <alignment horizontal="center" vertical="center"/>
    </xf>
    <xf numFmtId="0" fontId="21" fillId="18" borderId="13" xfId="0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0" fontId="21" fillId="11" borderId="13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7" fillId="3" borderId="1" xfId="0" applyFont="1" applyFill="1" applyAlignment="1">
      <alignment horizontal="center"/>
    </xf>
    <xf numFmtId="0" fontId="23" fillId="8" borderId="1" xfId="0" applyFont="1" applyFill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Alignment="1">
      <alignment horizontal="center"/>
    </xf>
    <xf numFmtId="0" fontId="24" fillId="3" borderId="1" xfId="0" applyFont="1" applyFill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0" fillId="6" borderId="1" xfId="0" applyFill="1" applyAlignment="1">
      <alignment horizontal="center"/>
    </xf>
    <xf numFmtId="164" fontId="4" fillId="6" borderId="18" xfId="0" applyNumberFormat="1" applyFont="1" applyFill="1" applyBorder="1" applyAlignment="1">
      <alignment horizontal="center"/>
    </xf>
    <xf numFmtId="164" fontId="4" fillId="6" borderId="15" xfId="0" applyNumberFormat="1" applyFont="1" applyFill="1" applyBorder="1" applyAlignment="1">
      <alignment horizontal="center"/>
    </xf>
    <xf numFmtId="164" fontId="4" fillId="6" borderId="18" xfId="0" applyNumberFormat="1" applyFont="1" applyFill="1" applyBorder="1" applyAlignment="1">
      <alignment horizontal="center" vertical="center"/>
    </xf>
    <xf numFmtId="164" fontId="4" fillId="6" borderId="15" xfId="0" applyNumberFormat="1" applyFont="1" applyFill="1" applyBorder="1" applyAlignment="1">
      <alignment horizontal="center" vertical="center"/>
    </xf>
    <xf numFmtId="14" fontId="25" fillId="6" borderId="1" xfId="0" applyNumberFormat="1" applyFont="1" applyFill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14" fontId="4" fillId="6" borderId="1" xfId="0" applyNumberFormat="1" applyFont="1" applyFill="1" applyAlignment="1">
      <alignment horizontal="center"/>
    </xf>
    <xf numFmtId="0" fontId="51" fillId="6" borderId="11" xfId="0" applyFont="1" applyFill="1" applyBorder="1" applyAlignment="1">
      <alignment horizontal="center"/>
    </xf>
    <xf numFmtId="0" fontId="51" fillId="6" borderId="12" xfId="0" applyFont="1" applyFill="1" applyBorder="1" applyAlignment="1">
      <alignment horizontal="center"/>
    </xf>
    <xf numFmtId="0" fontId="51" fillId="6" borderId="13" xfId="0" applyFont="1" applyFill="1" applyBorder="1" applyAlignment="1">
      <alignment horizontal="center"/>
    </xf>
    <xf numFmtId="0" fontId="51" fillId="0" borderId="11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Style de tableau 1" pivot="0" count="0" xr9:uid="{06D30EEF-701B-472C-972A-6E9CB83E7D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PERFORMANCE DES CAMIONS ACTIFS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DASHBOARD!$P$2</c:f>
              <c:strCache>
                <c:ptCount val="1"/>
                <c:pt idx="0">
                  <c:v>Revenu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DASHBOARD!$O$3:$O$5</c:f>
              <c:strCache>
                <c:ptCount val="3"/>
                <c:pt idx="0">
                  <c:v>🚚 CAMION 1</c:v>
                </c:pt>
                <c:pt idx="1">
                  <c:v>🚚 CAMION 2</c:v>
                </c:pt>
                <c:pt idx="2">
                  <c:v>🚚 CAMION 3</c:v>
                </c:pt>
              </c:strCache>
            </c:strRef>
          </c:cat>
          <c:val>
            <c:numRef>
              <c:f>DASHBOARD!$P$3:$P$5</c:f>
              <c:numCache>
                <c:formatCode>General</c:formatCode>
                <c:ptCount val="3"/>
                <c:pt idx="0">
                  <c:v>3500000</c:v>
                </c:pt>
                <c:pt idx="1">
                  <c:v>3500000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5-4A95-909A-4EAD853CF374}"/>
            </c:ext>
          </c:extLst>
        </c:ser>
        <c:ser>
          <c:idx val="1"/>
          <c:order val="1"/>
          <c:tx>
            <c:strRef>
              <c:f>DASHBOARD!$Q$2</c:f>
              <c:strCache>
                <c:ptCount val="1"/>
                <c:pt idx="0">
                  <c:v>Dépense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DASHBOARD!$O$3:$O$5</c:f>
              <c:strCache>
                <c:ptCount val="3"/>
                <c:pt idx="0">
                  <c:v>🚚 CAMION 1</c:v>
                </c:pt>
                <c:pt idx="1">
                  <c:v>🚚 CAMION 2</c:v>
                </c:pt>
                <c:pt idx="2">
                  <c:v>🚚 CAMION 3</c:v>
                </c:pt>
              </c:strCache>
            </c:strRef>
          </c:cat>
          <c:val>
            <c:numRef>
              <c:f>DASHBOARD!$Q$3:$Q$5</c:f>
              <c:numCache>
                <c:formatCode>General</c:formatCode>
                <c:ptCount val="3"/>
                <c:pt idx="0">
                  <c:v>3751600</c:v>
                </c:pt>
                <c:pt idx="1">
                  <c:v>4503250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5-4A95-909A-4EAD853CF374}"/>
            </c:ext>
          </c:extLst>
        </c:ser>
        <c:ser>
          <c:idx val="2"/>
          <c:order val="2"/>
          <c:tx>
            <c:strRef>
              <c:f>DASHBOARD!$R$2</c:f>
              <c:strCache>
                <c:ptCount val="1"/>
                <c:pt idx="0">
                  <c:v>Bénéfice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DASHBOARD!$O$3:$O$5</c:f>
              <c:strCache>
                <c:ptCount val="3"/>
                <c:pt idx="0">
                  <c:v>🚚 CAMION 1</c:v>
                </c:pt>
                <c:pt idx="1">
                  <c:v>🚚 CAMION 2</c:v>
                </c:pt>
                <c:pt idx="2">
                  <c:v>🚚 CAMION 3</c:v>
                </c:pt>
              </c:strCache>
            </c:strRef>
          </c:cat>
          <c:val>
            <c:numRef>
              <c:f>DASHBOARD!$R$3:$R$5</c:f>
              <c:numCache>
                <c:formatCode>General</c:formatCode>
                <c:ptCount val="3"/>
                <c:pt idx="0">
                  <c:v>-251600</c:v>
                </c:pt>
                <c:pt idx="1">
                  <c:v>-1003250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15-4A95-909A-4EAD853CF3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27129"/>
        <c:axId val="12893045"/>
      </c:barChart>
      <c:catAx>
        <c:axId val="68427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045"/>
        <c:crosses val="autoZero"/>
        <c:auto val="1"/>
        <c:lblAlgn val="ctr"/>
        <c:lblOffset val="0"/>
        <c:tickMarkSkip val="1"/>
        <c:noMultiLvlLbl val="1"/>
      </c:catAx>
      <c:valAx>
        <c:axId val="1289304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427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RÉPARTITION DES REVENUS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DASHBOARD!$P$12</c:f>
              <c:strCache>
                <c:ptCount val="1"/>
                <c:pt idx="0">
                  <c:v>Revenu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23-4F50-8AFD-4A368ED0B9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23-4F50-8AFD-4A368ED0B9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23-4F50-8AFD-4A368ED0B9D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DASHBOARD!$O$13:$O$15</c:f>
              <c:strCache>
                <c:ptCount val="3"/>
                <c:pt idx="0">
                  <c:v>🚚 CAMION 1</c:v>
                </c:pt>
                <c:pt idx="1">
                  <c:v>🚚 CAMION 2</c:v>
                </c:pt>
                <c:pt idx="2">
                  <c:v>🚚 CAMION 3</c:v>
                </c:pt>
              </c:strCache>
            </c:strRef>
          </c:cat>
          <c:val>
            <c:numRef>
              <c:f>DASHBOARD!$P$13:$P$15</c:f>
              <c:numCache>
                <c:formatCode>General</c:formatCode>
                <c:ptCount val="3"/>
                <c:pt idx="0">
                  <c:v>3500000</c:v>
                </c:pt>
                <c:pt idx="1">
                  <c:v>3500000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8-48AC-8154-F16CDB95F4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🎯 MARGE BÉNÉFICIAIRE PAR</a:t>
            </a:r>
            <a:r>
              <a:rPr lang="en-US" baseline="0"/>
              <a:t> </a:t>
            </a:r>
            <a:r>
              <a:rPr lang="en-US"/>
              <a:t>CAMION</a:t>
            </a:r>
          </a:p>
        </c:rich>
      </c:tx>
      <c:layout>
        <c:manualLayout>
          <c:xMode val="edge"/>
          <c:yMode val="edge"/>
          <c:x val="0.25591873215375638"/>
          <c:y val="2.1844658106733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97264074667937"/>
          <c:y val="0.118482684628943"/>
          <c:w val="0.71148508642631025"/>
          <c:h val="0.72979264513892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Marge 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DASHBOARD!$B$23:$B$25</c:f>
              <c:strCache>
                <c:ptCount val="3"/>
                <c:pt idx="0">
                  <c:v>🚚 CAMION 1</c:v>
                </c:pt>
                <c:pt idx="1">
                  <c:v>🚚 CAMION 2</c:v>
                </c:pt>
                <c:pt idx="2">
                  <c:v>🚚 CAMION 3</c:v>
                </c:pt>
              </c:strCache>
            </c:strRef>
          </c:cat>
          <c:val>
            <c:numRef>
              <c:f>DASHBOARD!$C$23:$C$25</c:f>
              <c:numCache>
                <c:formatCode>General</c:formatCode>
                <c:ptCount val="3"/>
                <c:pt idx="0">
                  <c:v>-7.1885714285714289E-2</c:v>
                </c:pt>
                <c:pt idx="1">
                  <c:v>-0.28664285714285714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5-4029-9D66-C485BD02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8297303"/>
        <c:axId val="62802680"/>
      </c:barChart>
      <c:catAx>
        <c:axId val="18297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680"/>
        <c:crosses val="autoZero"/>
        <c:auto val="1"/>
        <c:lblAlgn val="ctr"/>
        <c:lblOffset val="0"/>
        <c:tickMarkSkip val="1"/>
        <c:noMultiLvlLbl val="1"/>
      </c:catAx>
      <c:valAx>
        <c:axId val="62802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>
                <a:solidFill>
                  <a:schemeClr val="bg1"/>
                </a:solidFill>
                <a:latin typeface="+mn-lt"/>
              </a:defRPr>
            </a:pPr>
            <a:r>
              <a:rPr lang="en-US" sz="1500" b="1" i="0" u="none" strike="noStrike">
                <a:latin typeface="+mn-lt"/>
              </a:rPr>
              <a:t>Bénéfice Net par Camion</a:t>
            </a:r>
            <a:endParaRPr lang="en-US"/>
          </a:p>
        </c:rich>
      </c:tx>
      <c:layout>
        <c:manualLayout>
          <c:xMode val="edge"/>
          <c:yMode val="edge"/>
          <c:x val="0.19905149625114066"/>
          <c:y val="0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7399955911022932"/>
          <c:w val="0.71218120584389311"/>
          <c:h val="0.60927590744070381"/>
        </c:manualLayout>
      </c:layout>
      <c:barChart>
        <c:barDir val="bar"/>
        <c:grouping val="clustered"/>
        <c:varyColors val="1"/>
        <c:ser>
          <c:idx val="0"/>
          <c:order val="0"/>
          <c:tx>
            <c:v>Bénéfice Net</c:v>
          </c:tx>
          <c:invertIfNegative val="1"/>
          <c:dPt>
            <c:idx val="0"/>
            <c:invertIfNegative val="0"/>
            <c:bubble3D val="0"/>
            <c:spPr>
              <a:solidFill>
                <a:schemeClr val="accent1">
                  <a:lumMod val="19999"/>
                  <a:lumOff val="8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7ED9-4814-B9C6-CB0E937206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19999"/>
                  <a:lumOff val="8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7ED9-4814-B9C6-CB0E937206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19999"/>
                  <a:lumOff val="8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4-7ED9-4814-B9C6-CB0E9372066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19999"/>
                  <a:lumOff val="8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7ED9-4814-B9C6-CB0E9372066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19999"/>
                  <a:lumOff val="8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6-7ED9-4814-B9C6-CB0E9372066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'SUPER-COMPARATIF'!$D$13:$D$17</c:f>
              <c:strCache>
                <c:ptCount val="5"/>
                <c:pt idx="0">
                  <c:v>CAMION 1</c:v>
                </c:pt>
                <c:pt idx="1">
                  <c:v>CAMION 2</c:v>
                </c:pt>
                <c:pt idx="2">
                  <c:v>CAMION 3</c:v>
                </c:pt>
                <c:pt idx="3">
                  <c:v>CAMION 4</c:v>
                </c:pt>
                <c:pt idx="4">
                  <c:v>CAMION 5</c:v>
                </c:pt>
              </c:strCache>
            </c:strRef>
          </c:cat>
          <c:val>
            <c:numRef>
              <c:f>'SUPER-COMPARATIF'!$G$13:$G$17</c:f>
              <c:numCache>
                <c:formatCode>#\ ##0\ "FCFA"</c:formatCode>
                <c:ptCount val="5"/>
                <c:pt idx="0">
                  <c:v>-251600</c:v>
                </c:pt>
                <c:pt idx="1">
                  <c:v>-1003250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F0-4F6C-AD18-9E3A8A3DB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4"/>
        <c:axId val="24481380"/>
        <c:axId val="23288678"/>
      </c:barChart>
      <c:catAx>
        <c:axId val="244813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bg1"/>
                </a:solidFill>
                <a:latin typeface="+mn-lt"/>
              </a:defRPr>
            </a:pPr>
            <a:endParaRPr lang="en-US"/>
          </a:p>
        </c:txPr>
        <c:crossAx val="23288678"/>
        <c:crosses val="autoZero"/>
        <c:auto val="1"/>
        <c:lblAlgn val="ctr"/>
        <c:lblOffset val="100"/>
        <c:tickMarkSkip val="1"/>
        <c:noMultiLvlLbl val="1"/>
      </c:catAx>
      <c:valAx>
        <c:axId val="23288678"/>
        <c:scaling>
          <c:orientation val="minMax"/>
        </c:scaling>
        <c:delete val="0"/>
        <c:axPos val="b"/>
        <c:majorGridlines/>
        <c:numFmt formatCode="#\ ##0\ &quot;FCFA&quot;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bg1"/>
                </a:solidFill>
                <a:latin typeface="+mn-lt"/>
              </a:defRPr>
            </a:pPr>
            <a:endParaRPr lang="en-US"/>
          </a:p>
        </c:txPr>
        <c:crossAx val="2448138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  <c:extLst/>
  </c:chart>
  <c:spPr>
    <a:solidFill>
      <a:schemeClr val="accent1"/>
    </a:solidFill>
    <a:ln w="9525" cap="flat" cmpd="sng" algn="ctr">
      <a:solidFill>
        <a:schemeClr val="accent1"/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>
                <a:solidFill>
                  <a:schemeClr val="bg1"/>
                </a:solidFill>
                <a:latin typeface="+mn-lt"/>
              </a:defRPr>
            </a:pPr>
            <a:r>
              <a:rPr lang="en-US" sz="1800" b="0" i="0" u="none" strike="noStrike">
                <a:latin typeface="+mn-lt"/>
              </a:rPr>
              <a:t>Efficacité (Marge de Profit %)</a:t>
            </a:r>
            <a:endParaRPr lang="en-US"/>
          </a:p>
        </c:rich>
      </c:tx>
      <c:layout>
        <c:manualLayout>
          <c:xMode val="edge"/>
          <c:yMode val="edge"/>
          <c:x val="0.15681441029548729"/>
          <c:y val="0"/>
        </c:manualLayout>
      </c:layout>
      <c:overlay val="1"/>
      <c:spPr>
        <a:noFill/>
        <a:ln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p3d/>
      </c:spPr>
    </c:floor>
    <c:sideWall>
      <c:thickness val="0"/>
      <c:spPr>
        <a:sp3d/>
      </c:spPr>
    </c:sideWall>
    <c:backWall>
      <c:thickness val="0"/>
      <c:spPr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2376832672985941"/>
          <c:w val="0.93882662033051023"/>
          <c:h val="0.81321238109567529"/>
        </c:manualLayout>
      </c:layout>
      <c:bar3DChart>
        <c:barDir val="col"/>
        <c:grouping val="clustered"/>
        <c:varyColors val="0"/>
        <c:ser>
          <c:idx val="0"/>
          <c:order val="0"/>
          <c:tx>
            <c:v>Marge %</c:v>
          </c:tx>
          <c:spPr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 w="9525">
                <a:solidFill>
                  <a:schemeClr val="bg1">
                    <a:alpha val="50000"/>
                  </a:schemeClr>
                </a:solidFill>
                <a:round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bg1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'SUPER-COMPARATIF'!$D$13:$D$17</c:f>
              <c:strCache>
                <c:ptCount val="5"/>
                <c:pt idx="0">
                  <c:v>CAMION 1</c:v>
                </c:pt>
                <c:pt idx="1">
                  <c:v>CAMION 2</c:v>
                </c:pt>
                <c:pt idx="2">
                  <c:v>CAMION 3</c:v>
                </c:pt>
                <c:pt idx="3">
                  <c:v>CAMION 4</c:v>
                </c:pt>
                <c:pt idx="4">
                  <c:v>CAMION 5</c:v>
                </c:pt>
              </c:strCache>
            </c:strRef>
          </c:cat>
          <c:val>
            <c:numRef>
              <c:f>'SUPER-COMPARATIF'!$H$13:$H$17</c:f>
              <c:numCache>
                <c:formatCode>0.0%</c:formatCode>
                <c:ptCount val="5"/>
                <c:pt idx="0">
                  <c:v>-7.1885714285714289E-2</c:v>
                </c:pt>
                <c:pt idx="1">
                  <c:v>-0.28664285714285714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9-4BA6-9845-9F8D935F7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84051369"/>
        <c:axId val="23734968"/>
        <c:axId val="0"/>
      </c:bar3DChart>
      <c:catAx>
        <c:axId val="84051369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23734968"/>
        <c:crosses val="autoZero"/>
        <c:auto val="1"/>
        <c:lblAlgn val="ctr"/>
        <c:lblOffset val="100"/>
        <c:tickMarkSkip val="1"/>
        <c:noMultiLvlLbl val="1"/>
      </c:catAx>
      <c:valAx>
        <c:axId val="23734968"/>
        <c:scaling>
          <c:orientation val="minMax"/>
        </c:scaling>
        <c:delete val="0"/>
        <c:axPos val="l"/>
        <c:majorGridlines>
          <c:spPr>
            <a:ln w="9525">
              <a:solidFill>
                <a:schemeClr val="bg1">
                  <a:lumMod val="50000"/>
                </a:schemeClr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bg1">
                    <a:lumMod val="75000"/>
                  </a:schemeClr>
                </a:solidFill>
                <a:latin typeface="+mn-lt"/>
              </a:defRPr>
            </a:pPr>
            <a:endParaRPr lang="en-US"/>
          </a:p>
        </c:txPr>
        <c:crossAx val="8405136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  <c:extLst/>
  </c:chart>
  <c:spPr>
    <a:solidFill>
      <a:schemeClr val="tx1">
        <a:lumMod val="75000"/>
        <a:lumOff val="25000"/>
      </a:schemeClr>
    </a:solidFill>
    <a:ln w="6382" cap="flat" cmpd="sng" algn="ctr">
      <a:solidFill>
        <a:schemeClr val="tx1">
          <a:tint val="7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67736</xdr:colOff>
      <xdr:row>19</xdr:row>
      <xdr:rowOff>33867</xdr:rowOff>
    </xdr:from>
    <xdr:to>
      <xdr:col>3</xdr:col>
      <xdr:colOff>778934</xdr:colOff>
      <xdr:row>31</xdr:row>
      <xdr:rowOff>110068</xdr:rowOff>
    </xdr:to>
    <xdr:graphicFrame macro="">
      <xdr:nvGraphicFramePr>
        <xdr:cNvPr id="3" name="Performance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863592</xdr:colOff>
      <xdr:row>19</xdr:row>
      <xdr:rowOff>42333</xdr:rowOff>
    </xdr:from>
    <xdr:to>
      <xdr:col>6</xdr:col>
      <xdr:colOff>253991</xdr:colOff>
      <xdr:row>31</xdr:row>
      <xdr:rowOff>101600</xdr:rowOff>
    </xdr:to>
    <xdr:graphicFrame macro="">
      <xdr:nvGraphicFramePr>
        <xdr:cNvPr id="4" name="Revenue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347124</xdr:colOff>
      <xdr:row>19</xdr:row>
      <xdr:rowOff>42333</xdr:rowOff>
    </xdr:from>
    <xdr:to>
      <xdr:col>12</xdr:col>
      <xdr:colOff>609599</xdr:colOff>
      <xdr:row>31</xdr:row>
      <xdr:rowOff>84667</xdr:rowOff>
    </xdr:to>
    <xdr:graphicFrame macro="">
      <xdr:nvGraphicFramePr>
        <xdr:cNvPr id="5" name="Margin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0</xdr:row>
      <xdr:rowOff>152400</xdr:rowOff>
    </xdr:from>
    <xdr:to>
      <xdr:col>17</xdr:col>
      <xdr:colOff>0</xdr:colOff>
      <xdr:row>10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160020</xdr:colOff>
      <xdr:row>11</xdr:row>
      <xdr:rowOff>129540</xdr:rowOff>
    </xdr:from>
    <xdr:to>
      <xdr:col>17</xdr:col>
      <xdr:colOff>7620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</xdr:colOff>
      <xdr:row>2</xdr:row>
      <xdr:rowOff>106680</xdr:rowOff>
    </xdr:from>
    <xdr:to>
      <xdr:col>3</xdr:col>
      <xdr:colOff>333375</xdr:colOff>
      <xdr:row>6</xdr:row>
      <xdr:rowOff>121920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255520" y="821055"/>
          <a:ext cx="1021080" cy="112014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960120</xdr:colOff>
      <xdr:row>2</xdr:row>
      <xdr:rowOff>68580</xdr:rowOff>
    </xdr:from>
    <xdr:to>
      <xdr:col>7</xdr:col>
      <xdr:colOff>403860</xdr:colOff>
      <xdr:row>5</xdr:row>
      <xdr:rowOff>207645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8761095" y="782955"/>
          <a:ext cx="891540" cy="96774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213360</xdr:colOff>
      <xdr:row>1</xdr:row>
      <xdr:rowOff>182880</xdr:rowOff>
    </xdr:from>
    <xdr:to>
      <xdr:col>3</xdr:col>
      <xdr:colOff>451485</xdr:colOff>
      <xdr:row>6</xdr:row>
      <xdr:rowOff>28575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108835" y="544830"/>
          <a:ext cx="1219200" cy="122682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1264920</xdr:colOff>
      <xdr:row>2</xdr:row>
      <xdr:rowOff>91440</xdr:rowOff>
    </xdr:from>
    <xdr:to>
      <xdr:col>7</xdr:col>
      <xdr:colOff>626745</xdr:colOff>
      <xdr:row>5</xdr:row>
      <xdr:rowOff>192405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9265920" y="723900"/>
          <a:ext cx="878205" cy="923925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259080</xdr:rowOff>
    </xdr:from>
    <xdr:to>
      <xdr:col>3</xdr:col>
      <xdr:colOff>750570</xdr:colOff>
      <xdr:row>6</xdr:row>
      <xdr:rowOff>140970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390775" y="611505"/>
          <a:ext cx="1341120" cy="131064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662940</xdr:colOff>
      <xdr:row>2</xdr:row>
      <xdr:rowOff>121920</xdr:rowOff>
    </xdr:from>
    <xdr:to>
      <xdr:col>7</xdr:col>
      <xdr:colOff>556260</xdr:colOff>
      <xdr:row>6</xdr:row>
      <xdr:rowOff>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8635365" y="760095"/>
          <a:ext cx="1264920" cy="102108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320040</xdr:colOff>
      <xdr:row>2</xdr:row>
      <xdr:rowOff>60960</xdr:rowOff>
    </xdr:from>
    <xdr:to>
      <xdr:col>3</xdr:col>
      <xdr:colOff>462915</xdr:colOff>
      <xdr:row>5</xdr:row>
      <xdr:rowOff>268605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215515" y="699135"/>
          <a:ext cx="1238250" cy="103632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1158240</xdr:colOff>
      <xdr:row>2</xdr:row>
      <xdr:rowOff>160020</xdr:rowOff>
    </xdr:from>
    <xdr:to>
      <xdr:col>7</xdr:col>
      <xdr:colOff>899160</xdr:colOff>
      <xdr:row>5</xdr:row>
      <xdr:rowOff>215265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9130665" y="798195"/>
          <a:ext cx="1112520" cy="88392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716280</xdr:colOff>
      <xdr:row>2</xdr:row>
      <xdr:rowOff>198120</xdr:rowOff>
    </xdr:from>
    <xdr:to>
      <xdr:col>3</xdr:col>
      <xdr:colOff>748665</xdr:colOff>
      <xdr:row>5</xdr:row>
      <xdr:rowOff>268605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611755" y="826770"/>
          <a:ext cx="1146810" cy="89916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845820</xdr:colOff>
      <xdr:row>3</xdr:row>
      <xdr:rowOff>0</xdr:rowOff>
    </xdr:from>
    <xdr:to>
      <xdr:col>7</xdr:col>
      <xdr:colOff>916305</xdr:colOff>
      <xdr:row>5</xdr:row>
      <xdr:rowOff>262890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8903970" y="904875"/>
          <a:ext cx="1242060" cy="81534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8" Type="http://schemas.microsoft.com/office/2011/relationships/webextension" Target="webextension8.xml"/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11" Type="http://schemas.microsoft.com/office/2011/relationships/webextension" Target="webextension11.xml"/><Relationship Id="rId5" Type="http://schemas.microsoft.com/office/2011/relationships/webextension" Target="webextension5.xml"/><Relationship Id="rId10" Type="http://schemas.microsoft.com/office/2011/relationships/webextension" Target="webextension10.xml"/><Relationship Id="rId4" Type="http://schemas.microsoft.com/office/2011/relationships/webextension" Target="webextension4.xml"/><Relationship Id="rId9" Type="http://schemas.microsoft.com/office/2011/relationships/webextension" Target="webextension9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  <wetp:taskpane dockstate="right" visibility="0" width="438" row="4">
    <wetp:webextensionref xmlns:r="http://schemas.openxmlformats.org/officeDocument/2006/relationships" r:id="rId4"/>
  </wetp:taskpane>
  <wetp:taskpane dockstate="right" visibility="0" width="438" row="11">
    <wetp:webextensionref xmlns:r="http://schemas.openxmlformats.org/officeDocument/2006/relationships" r:id="rId5"/>
  </wetp:taskpane>
  <wetp:taskpane dockstate="right" visibility="0" width="438" row="10">
    <wetp:webextensionref xmlns:r="http://schemas.openxmlformats.org/officeDocument/2006/relationships" r:id="rId6"/>
  </wetp:taskpane>
  <wetp:taskpane dockstate="right" visibility="0" width="438" row="8">
    <wetp:webextensionref xmlns:r="http://schemas.openxmlformats.org/officeDocument/2006/relationships" r:id="rId7"/>
  </wetp:taskpane>
  <wetp:taskpane dockstate="right" visibility="0" width="438" row="3">
    <wetp:webextensionref xmlns:r="http://schemas.openxmlformats.org/officeDocument/2006/relationships" r:id="rId8"/>
  </wetp:taskpane>
  <wetp:taskpane dockstate="right" visibility="0" width="438" row="8">
    <wetp:webextensionref xmlns:r="http://schemas.openxmlformats.org/officeDocument/2006/relationships" r:id="rId9"/>
  </wetp:taskpane>
  <wetp:taskpane dockstate="right" visibility="0" width="438" row="5">
    <wetp:webextensionref xmlns:r="http://schemas.openxmlformats.org/officeDocument/2006/relationships" r:id="rId10"/>
  </wetp:taskpane>
  <wetp:taskpane dockstate="right" visibility="0" width="438" row="4">
    <wetp:webextensionref xmlns:r="http://schemas.openxmlformats.org/officeDocument/2006/relationships" r:id="rId11"/>
  </wetp:taskpane>
</wetp:taskpanes>
</file>

<file path=xl/webextensions/webextension1.xml><?xml version="1.0" encoding="utf-8"?>
<we:webextension xmlns:we="http://schemas.microsoft.com/office/webextensions/webextension/2010/11" id="{1AB3C111-FB76-4B85-A78F-155C64E6A738}">
  <we:reference id="wa200005271" version="2.6.1.0" store="fr-FR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C8BE259-D298-4C95-8F83-2A12CCDD9A2E}">
  <we:reference id="wa200005502" version="1.0.0.12" store="fr-FR" storeType="OMEX"/>
  <we:alternateReferences>
    <we:reference id="wa200005502" version="1.0.0.12" store="wa200005502" storeType="OMEX"/>
  </we:alternateReferences>
  <we:properties>
    <we:property name="docId" value="&quot;srutERPEU53AMBvBBQYb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F871884B-B914-4603-A60A-4F1FFB66603E}">
  <we:reference id="wa200005669" version="2.0.0.0" store="fr-FR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E3F50E17-A515-49C1-B902-0AC8BA3C5733}">
  <we:reference id="wa104380084" version="1.0.0.0" store="fr-FR" storeType="OMEX"/>
  <we:alternateReferences>
    <we:reference id="WA104380084" version="1.0.0.0" store="WA104380084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740AD537-A854-4A6D-9AAA-5E33DD63E39E}">
  <we:reference id="wa200006067" version="1.0.0.9" store="fr-FR" storeType="OMEX"/>
  <we:alternateReferences>
    <we:reference id="wa200006067" version="1.0.0.9" store="WA200006067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ebextensions/webextension6.xml><?xml version="1.0" encoding="utf-8"?>
<we:webextension xmlns:we="http://schemas.microsoft.com/office/webextensions/webextension/2010/11" id="{F7A52F55-6D5A-4943-8440-63F259D614B4}">
  <we:reference id="wa200006007" version="1.2.3.0" store="fr-FR" storeType="OMEX"/>
  <we:alternateReferences>
    <we:reference id="WA200006007" version="1.2.3.0" store="WA200006007" storeType="OMEX"/>
  </we:alternateReferences>
  <we:properties>
    <we:property name="document_UID" value="&quot;c8d76bea-ba2e-478a-aad3-4e4bb607ae2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7.xml><?xml version="1.0" encoding="utf-8"?>
<we:webextension xmlns:we="http://schemas.microsoft.com/office/webextensions/webextension/2010/11" id="{EDBF00F1-ED49-4291-90A1-A2A67191C709}">
  <we:reference id="wa104381701" version="1.0.0.4" store="fr-FR" storeType="OMEX"/>
  <we:alternateReferences>
    <we:reference id="wa104381701" version="1.0.0.4" store="fr-FR" storeType="OMEX"/>
  </we:alternateReferences>
  <we:properties/>
  <we:bindings/>
  <we:snapshot xmlns:r="http://schemas.openxmlformats.org/officeDocument/2006/relationships"/>
</we:webextension>
</file>

<file path=xl/webextensions/webextension8.xml><?xml version="1.0" encoding="utf-8"?>
<we:webextension xmlns:we="http://schemas.microsoft.com/office/webextensions/webextension/2010/11" id="{D45F766D-BEDE-45BC-9763-6466C25DD744}">
  <we:reference id="wa200009152" version="1.0.0.4" store="fr-FR" storeType="OMEX"/>
  <we:alternateReferences>
    <we:reference id="WA200009152" version="1.0.0.4" store="WA200009152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9.xml><?xml version="1.0" encoding="utf-8"?>
<we:webextension xmlns:we="http://schemas.microsoft.com/office/webextensions/webextension/2010/11" id="{A8C5CEF3-A122-4DBB-A5CE-655E49A6E17F}">
  <we:reference id="wa200006009" version="2.1.3.10" store="fr-FR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</we:webextension>
</file>

<file path=xl/webextensions/webextension10.xml><?xml version="1.0" encoding="utf-8"?>
<we:webextension xmlns:we="http://schemas.microsoft.com/office/webextensions/webextension/2010/11" id="{573AA424-277A-4670-AAD3-CB2B6503D4C3}">
  <we:reference id="wa200008850" version="1.0.1.0" store="fr-FR" storeType="OMEX"/>
  <we:alternateReferences>
    <we:reference id="WA200008850" version="1.0.1.0" store="WA200008850" storeType="OMEX"/>
  </we:alternateReferences>
  <we:properties/>
  <we:bindings/>
  <we:snapshot xmlns:r="http://schemas.openxmlformats.org/officeDocument/2006/relationships"/>
</we:webextension>
</file>

<file path=xl/webextensions/webextension11.xml><?xml version="1.0" encoding="utf-8"?>
<we:webextension xmlns:we="http://schemas.microsoft.com/office/webextensions/webextension/2010/11" id="{F84FF9DB-3BAE-48CC-A03C-802250DB9D7D}">
  <we:reference id="wa200009404" version="1.0.0.5" store="fr-FR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D738-A198-6BD8-EBC8-9DD968E2A918}">
  <sheetPr codeName="Feuil1">
    <tabColor theme="3"/>
  </sheetPr>
  <dimension ref="A1:G11"/>
  <sheetViews>
    <sheetView showGridLines="0" workbookViewId="0">
      <selection activeCell="C6" sqref="C6"/>
    </sheetView>
  </sheetViews>
  <sheetFormatPr baseColWidth="10" defaultColWidth="8.88671875" defaultRowHeight="14.4" customHeight="1" x14ac:dyDescent="0.3"/>
  <cols>
    <col min="1" max="1" width="4.5546875" customWidth="1"/>
    <col min="2" max="3" width="35" customWidth="1"/>
    <col min="6" max="6" width="11.33203125" customWidth="1"/>
    <col min="7" max="7" width="16.33203125" customWidth="1"/>
  </cols>
  <sheetData>
    <row r="1" spans="1:7" s="1" customFormat="1" ht="32.25" customHeight="1" x14ac:dyDescent="0.3">
      <c r="A1" s="130" t="s">
        <v>0</v>
      </c>
      <c r="B1" s="130"/>
      <c r="C1" s="130"/>
      <c r="D1" s="130"/>
      <c r="E1" s="130"/>
      <c r="F1" s="130"/>
      <c r="G1" s="130"/>
    </row>
    <row r="2" spans="1:7" s="1" customFormat="1" ht="14.25" customHeight="1" x14ac:dyDescent="0.3">
      <c r="A2" s="130"/>
      <c r="B2" s="130"/>
      <c r="C2" s="130"/>
      <c r="D2" s="130"/>
      <c r="E2" s="130"/>
      <c r="F2" s="130"/>
      <c r="G2" s="130"/>
    </row>
    <row r="3" spans="1:7" s="1" customFormat="1" ht="15" customHeight="1" thickBot="1" x14ac:dyDescent="0.35">
      <c r="A3" s="2"/>
      <c r="B3" s="2"/>
      <c r="C3" s="2"/>
      <c r="D3" s="2"/>
      <c r="E3" s="2"/>
      <c r="F3" s="2"/>
      <c r="G3" s="2"/>
    </row>
    <row r="4" spans="1:7" s="1" customFormat="1" ht="50.25" customHeight="1" thickBot="1" x14ac:dyDescent="0.35">
      <c r="A4" s="2"/>
      <c r="B4" s="2"/>
      <c r="C4" s="3" t="s">
        <v>1</v>
      </c>
      <c r="D4" s="2"/>
      <c r="E4" s="2"/>
      <c r="F4" s="2"/>
      <c r="G4" s="2"/>
    </row>
    <row r="5" spans="1:7" s="1" customFormat="1" ht="50.25" customHeight="1" thickBot="1" x14ac:dyDescent="0.35">
      <c r="A5" s="2"/>
      <c r="B5" s="2"/>
      <c r="C5" s="2"/>
      <c r="D5" s="2"/>
      <c r="E5" s="2"/>
      <c r="F5" s="2"/>
      <c r="G5" s="2"/>
    </row>
    <row r="6" spans="1:7" s="1" customFormat="1" ht="50.25" customHeight="1" thickBot="1" x14ac:dyDescent="0.35">
      <c r="A6" s="2"/>
      <c r="B6" s="2"/>
      <c r="C6" s="4" t="s">
        <v>2</v>
      </c>
      <c r="D6" s="2"/>
      <c r="E6" s="2"/>
      <c r="F6" s="2"/>
      <c r="G6" s="2"/>
    </row>
    <row r="7" spans="1:7" s="1" customFormat="1" ht="50.25" customHeight="1" thickBot="1" x14ac:dyDescent="0.35">
      <c r="A7" s="2"/>
      <c r="B7" s="5" t="s">
        <v>3</v>
      </c>
      <c r="C7" s="2"/>
      <c r="D7" s="134" t="s">
        <v>4</v>
      </c>
      <c r="E7" s="135"/>
      <c r="F7" s="136"/>
      <c r="G7" s="2"/>
    </row>
    <row r="8" spans="1:7" s="1" customFormat="1" ht="50.25" customHeight="1" thickBot="1" x14ac:dyDescent="0.35">
      <c r="A8" s="2"/>
      <c r="B8" s="2"/>
      <c r="C8" s="2"/>
      <c r="D8" s="2"/>
      <c r="E8" s="2"/>
      <c r="F8" s="2"/>
      <c r="G8" s="2"/>
    </row>
    <row r="9" spans="1:7" s="1" customFormat="1" ht="50.25" customHeight="1" thickBot="1" x14ac:dyDescent="0.35">
      <c r="A9" s="2"/>
      <c r="B9" s="6" t="s">
        <v>5</v>
      </c>
      <c r="C9" s="2"/>
      <c r="D9" s="131" t="s">
        <v>6</v>
      </c>
      <c r="E9" s="132"/>
      <c r="F9" s="133"/>
      <c r="G9" s="2"/>
    </row>
    <row r="10" spans="1:7" s="1" customFormat="1" ht="50.25" customHeight="1" thickBot="1" x14ac:dyDescent="0.35">
      <c r="A10" s="2"/>
      <c r="B10" s="2"/>
      <c r="C10" s="2"/>
      <c r="D10" s="2"/>
      <c r="E10" s="2"/>
      <c r="F10" s="2"/>
      <c r="G10" s="2"/>
    </row>
    <row r="11" spans="1:7" s="1" customFormat="1" ht="50.25" customHeight="1" thickBot="1" x14ac:dyDescent="0.35">
      <c r="A11" s="2"/>
      <c r="B11" s="2"/>
      <c r="C11" s="137" t="s">
        <v>7</v>
      </c>
      <c r="D11" s="138"/>
      <c r="E11" s="2"/>
      <c r="F11" s="2"/>
      <c r="G11" s="2"/>
    </row>
  </sheetData>
  <mergeCells count="4">
    <mergeCell ref="A1:G2"/>
    <mergeCell ref="D9:F9"/>
    <mergeCell ref="D7:F7"/>
    <mergeCell ref="C11:D11"/>
  </mergeCells>
  <hyperlinks>
    <hyperlink ref="C4" location="'DASHBOARD'!A1" display="📊 TABLEAU DE BORD" xr:uid="{00000000-0004-0000-0000-000000000000}"/>
    <hyperlink ref="C6" location="'CAMION 1'!A1" display="🚚 FICHE CAMION 1" xr:uid="{00000000-0004-0000-0000-000001000000}"/>
    <hyperlink ref="B7" location="'CAMION 2'!A1" display="🚚 FICHE CAMION 2" xr:uid="{00000000-0004-0000-0000-000002000000}"/>
    <hyperlink ref="D7:F7" location="'CAMION 3'!A1" display="🚚 FICHE CAMION 3" xr:uid="{00000000-0004-0000-0000-000003000000}"/>
    <hyperlink ref="B9" location="'CAMION 4'!A1" display="🚚 FICHE CAMION 4" xr:uid="{00000000-0004-0000-0000-000004000000}"/>
    <hyperlink ref="D9:F9" location="'CAMION 5'!A1" display="🚚 FICHE CAMION 5" xr:uid="{00000000-0004-0000-0000-000005000000}"/>
    <hyperlink ref="C11:D11" location="'SUPER-COMPARATIF'!A1" display="🏆 COMPARATIF PERFORMANCE" xr:uid="{00000000-0004-0000-0000-000006000000}"/>
  </hyperlink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B298-6A88-CD9D-6058-872B20F46F38}">
  <sheetPr codeName="Feuil2">
    <tabColor rgb="FF92D050"/>
  </sheetPr>
  <dimension ref="A1:R66"/>
  <sheetViews>
    <sheetView showGridLines="0" zoomScale="90" workbookViewId="0">
      <selection activeCell="I14" sqref="I14"/>
    </sheetView>
  </sheetViews>
  <sheetFormatPr baseColWidth="10" defaultColWidth="8.88671875" defaultRowHeight="14.4" customHeight="1" x14ac:dyDescent="0.3"/>
  <cols>
    <col min="1" max="1" width="16.6640625" style="11" customWidth="1"/>
    <col min="2" max="2" width="23.5546875" style="10" customWidth="1"/>
    <col min="3" max="3" width="24.5546875" customWidth="1"/>
    <col min="4" max="4" width="22.6640625" customWidth="1"/>
    <col min="5" max="5" width="24.88671875" customWidth="1"/>
    <col min="6" max="6" width="24.21875" customWidth="1"/>
    <col min="7" max="7" width="17.44140625" customWidth="1"/>
    <col min="10" max="10" width="23.109375" customWidth="1"/>
    <col min="15" max="15" width="13.44140625" bestFit="1" customWidth="1"/>
  </cols>
  <sheetData>
    <row r="1" spans="1:18" ht="36.6" customHeight="1" x14ac:dyDescent="0.3">
      <c r="A1" s="68"/>
      <c r="B1" s="80" t="s">
        <v>8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8" ht="35.4" customHeight="1" thickBot="1" x14ac:dyDescent="0.35">
      <c r="A2" s="71" t="s">
        <v>9</v>
      </c>
      <c r="B2" s="81" t="s">
        <v>10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O2" t="s">
        <v>11</v>
      </c>
      <c r="P2" t="s">
        <v>12</v>
      </c>
      <c r="Q2" t="s">
        <v>13</v>
      </c>
      <c r="R2" t="s">
        <v>14</v>
      </c>
    </row>
    <row r="3" spans="1:18" ht="23.4" customHeight="1" thickTop="1" x14ac:dyDescent="0.35">
      <c r="A3" s="68"/>
      <c r="B3" s="82" t="s">
        <v>15</v>
      </c>
      <c r="C3" s="83"/>
      <c r="D3" s="84"/>
      <c r="E3" s="92" t="s">
        <v>16</v>
      </c>
      <c r="F3" s="93"/>
      <c r="G3" s="94"/>
      <c r="H3" s="101" t="s">
        <v>17</v>
      </c>
      <c r="I3" s="102"/>
      <c r="J3" s="103"/>
      <c r="K3" s="111" t="s">
        <v>18</v>
      </c>
      <c r="L3" s="112"/>
      <c r="M3" s="113"/>
      <c r="O3" t="str" cm="1">
        <f t="array" ref="O3">DASHBOARD!B12</f>
        <v>🚚 CAMION 1</v>
      </c>
      <c r="P3" cm="1">
        <f t="array" ref="P3">DASHBOARD!D12</f>
        <v>3500000</v>
      </c>
      <c r="Q3" cm="1">
        <f t="array" ref="Q3">DASHBOARD!E12</f>
        <v>3751600</v>
      </c>
      <c r="R3" cm="1">
        <f t="array" ref="R3">DASHBOARD!F12</f>
        <v>-251600</v>
      </c>
    </row>
    <row r="4" spans="1:18" ht="23.4" customHeight="1" x14ac:dyDescent="0.3">
      <c r="A4" s="69" t="s">
        <v>20</v>
      </c>
      <c r="B4" s="85" t="str">
        <f>TEXT(D19,"# ##0")&amp;" FCFA"</f>
        <v>7 000 000 FCFA</v>
      </c>
      <c r="C4" s="86"/>
      <c r="D4" s="87"/>
      <c r="E4" s="95" t="str">
        <f>TEXT(E19,"# ##0")&amp;" FCFA"</f>
        <v>8 254 850 FCFA</v>
      </c>
      <c r="F4" s="86"/>
      <c r="G4" s="96"/>
      <c r="H4" s="104" t="str">
        <f>TEXT(F19,"# ##0")&amp;" FCFA"</f>
        <v>-1 254 850 FCFA</v>
      </c>
      <c r="I4" s="105"/>
      <c r="J4" s="106"/>
      <c r="K4" s="114" t="str">
        <f>COUNTIF(E12:E16,"&gt;0")&amp;" / 5"</f>
        <v>2 / 5</v>
      </c>
      <c r="L4" s="115"/>
      <c r="M4" s="116"/>
      <c r="O4" t="str" cm="1">
        <f t="array" ref="O4">DASHBOARD!B13</f>
        <v>🚚 CAMION 2</v>
      </c>
      <c r="P4" cm="1">
        <f t="array" ref="P4">DASHBOARD!D13</f>
        <v>3500000</v>
      </c>
      <c r="Q4" cm="1">
        <f t="array" ref="Q4">DASHBOARD!E13</f>
        <v>4503250</v>
      </c>
      <c r="R4" cm="1">
        <f t="array" ref="R4">DASHBOARD!F13</f>
        <v>-1003250</v>
      </c>
    </row>
    <row r="5" spans="1:18" ht="23.4" customHeight="1" x14ac:dyDescent="0.3">
      <c r="A5" s="69" t="s">
        <v>22</v>
      </c>
      <c r="B5" s="88"/>
      <c r="C5" s="86"/>
      <c r="D5" s="87"/>
      <c r="E5" s="97"/>
      <c r="F5" s="86"/>
      <c r="G5" s="96"/>
      <c r="H5" s="107"/>
      <c r="I5" s="105"/>
      <c r="J5" s="106"/>
      <c r="K5" s="117"/>
      <c r="L5" s="115"/>
      <c r="M5" s="116"/>
      <c r="O5" t="str" cm="1">
        <f t="array" ref="O5">DASHBOARD!B14</f>
        <v>🚚 CAMION 3</v>
      </c>
      <c r="P5" cm="1">
        <f t="array" ref="P5">DASHBOARD!D14</f>
        <v>0</v>
      </c>
      <c r="Q5" cm="1">
        <f t="array" ref="Q5">DASHBOARD!E14</f>
        <v>0</v>
      </c>
      <c r="R5" cm="1">
        <f t="array" ref="R5">DASHBOARD!F14</f>
        <v>0</v>
      </c>
    </row>
    <row r="6" spans="1:18" ht="23.4" customHeight="1" x14ac:dyDescent="0.3">
      <c r="A6" s="69" t="s">
        <v>19</v>
      </c>
      <c r="B6" s="88"/>
      <c r="C6" s="86"/>
      <c r="D6" s="87"/>
      <c r="E6" s="97"/>
      <c r="F6" s="86"/>
      <c r="G6" s="96"/>
      <c r="H6" s="107"/>
      <c r="I6" s="105"/>
      <c r="J6" s="106"/>
      <c r="K6" s="117"/>
      <c r="L6" s="115"/>
      <c r="M6" s="116"/>
    </row>
    <row r="7" spans="1:18" ht="23.4" customHeight="1" thickBot="1" x14ac:dyDescent="0.35">
      <c r="A7" s="69" t="s">
        <v>21</v>
      </c>
      <c r="B7" s="89" t="s">
        <v>24</v>
      </c>
      <c r="C7" s="90"/>
      <c r="D7" s="91"/>
      <c r="E7" s="98" t="s">
        <v>25</v>
      </c>
      <c r="F7" s="99"/>
      <c r="G7" s="100"/>
      <c r="H7" s="108" t="s">
        <v>26</v>
      </c>
      <c r="I7" s="109"/>
      <c r="J7" s="110"/>
      <c r="K7" s="118" t="s">
        <v>27</v>
      </c>
      <c r="L7" s="119"/>
      <c r="M7" s="120"/>
    </row>
    <row r="8" spans="1:18" ht="23.4" customHeight="1" thickTop="1" thickBot="1" x14ac:dyDescent="0.35">
      <c r="A8" s="69" t="s">
        <v>23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8" ht="36.6" customHeight="1" thickBot="1" x14ac:dyDescent="0.45">
      <c r="A9" s="69" t="s">
        <v>28</v>
      </c>
      <c r="B9" s="121" t="str">
        <f>"Marge moyenne: "&amp;TEXT(G19/E19,"0.0%")</f>
        <v>Marge moyenne: 0.0%</v>
      </c>
      <c r="C9" s="122"/>
      <c r="D9" s="123"/>
      <c r="E9" s="124" t="str">
        <f>"Bénéfice/Camion: "&amp;TEXT(G19/COUNTIF(E12:E16,"&gt;0"),"# ##0")&amp;" FCFA"</f>
        <v>Bénéfice/Camion: 0 FCFA</v>
      </c>
      <c r="F9" s="122"/>
      <c r="G9" s="123"/>
      <c r="H9" s="125" t="str">
        <f>"Efficacité: "&amp;TEXT(1-(F19/E19),"0%")</f>
        <v>Efficacité: 115%</v>
      </c>
      <c r="I9" s="126"/>
      <c r="J9" s="127"/>
      <c r="K9" s="2"/>
      <c r="L9" s="2"/>
      <c r="M9" s="2"/>
    </row>
    <row r="10" spans="1:18" ht="23.4" customHeight="1" thickBot="1" x14ac:dyDescent="0.35">
      <c r="A10" s="70" t="s">
        <v>29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8" ht="23.4" customHeight="1" thickBot="1" x14ac:dyDescent="0.35">
      <c r="A11" s="72" t="s">
        <v>30</v>
      </c>
      <c r="B11" s="55" t="s">
        <v>31</v>
      </c>
      <c r="C11" s="55" t="s">
        <v>32</v>
      </c>
      <c r="D11" s="55" t="s">
        <v>33</v>
      </c>
      <c r="E11" s="55" t="s">
        <v>34</v>
      </c>
      <c r="F11" s="55" t="s">
        <v>35</v>
      </c>
      <c r="G11" s="55" t="s">
        <v>36</v>
      </c>
      <c r="H11" s="2"/>
      <c r="I11" s="2"/>
      <c r="J11" s="2"/>
      <c r="K11" s="2"/>
      <c r="L11" s="2"/>
      <c r="M11" s="2"/>
    </row>
    <row r="12" spans="1:18" ht="23.4" customHeight="1" x14ac:dyDescent="0.3">
      <c r="B12" s="56" t="s">
        <v>19</v>
      </c>
      <c r="C12" s="56" t="s">
        <v>73</v>
      </c>
      <c r="D12" s="74" cm="1">
        <f t="array" ref="D12">'CAMION 1'!D44</f>
        <v>3500000</v>
      </c>
      <c r="E12" s="74" cm="1">
        <f t="array" ref="E12">'CAMION 1'!E44</f>
        <v>3751600</v>
      </c>
      <c r="F12" s="73">
        <f>D12-E12</f>
        <v>-251600</v>
      </c>
      <c r="G12" s="57">
        <f t="shared" ref="G12:G19" si="0">IF(D12&gt;0,F12/D12,0)</f>
        <v>-7.1885714285714289E-2</v>
      </c>
      <c r="H12" s="2"/>
      <c r="I12" s="2"/>
      <c r="J12" s="2"/>
      <c r="K12" s="2"/>
      <c r="L12" s="2"/>
      <c r="M12" s="2"/>
      <c r="O12" t="s">
        <v>11</v>
      </c>
      <c r="P12" t="s">
        <v>12</v>
      </c>
    </row>
    <row r="13" spans="1:18" ht="23.4" customHeight="1" x14ac:dyDescent="0.3">
      <c r="B13" s="58" t="s">
        <v>21</v>
      </c>
      <c r="C13" s="58" t="s">
        <v>74</v>
      </c>
      <c r="D13" s="75" cm="1">
        <f t="array" ref="D13">'CAMION 2'!D45</f>
        <v>3500000</v>
      </c>
      <c r="E13" s="75" cm="1">
        <f t="array" ref="E13">'CAMION 2'!E45</f>
        <v>4503250</v>
      </c>
      <c r="F13" s="73">
        <f>D13-E13</f>
        <v>-1003250</v>
      </c>
      <c r="G13" s="59">
        <f t="shared" si="0"/>
        <v>-0.28664285714285714</v>
      </c>
      <c r="H13" s="2"/>
      <c r="I13" s="2"/>
      <c r="J13" s="2"/>
      <c r="K13" s="2"/>
      <c r="L13" s="2"/>
      <c r="M13" s="2"/>
      <c r="O13" t="str" cm="1">
        <f t="array" ref="O13">DASHBOARD!B12</f>
        <v>🚚 CAMION 1</v>
      </c>
      <c r="P13" cm="1">
        <f t="array" ref="P13">DASHBOARD!D12</f>
        <v>3500000</v>
      </c>
    </row>
    <row r="14" spans="1:18" ht="23.4" customHeight="1" x14ac:dyDescent="0.3">
      <c r="B14" s="56" t="s">
        <v>23</v>
      </c>
      <c r="C14" s="56"/>
      <c r="D14" s="74" cm="1">
        <f t="array" ref="D14">'CAMION 3'!D45</f>
        <v>0</v>
      </c>
      <c r="E14" s="74" cm="1">
        <f t="array" ref="E14">'CAMION 3'!E45</f>
        <v>0</v>
      </c>
      <c r="F14" s="73">
        <f>D14-E14</f>
        <v>0</v>
      </c>
      <c r="G14" s="57">
        <f t="shared" si="0"/>
        <v>0</v>
      </c>
      <c r="H14" s="2"/>
      <c r="I14" s="2"/>
      <c r="J14" s="2"/>
      <c r="K14" s="2"/>
      <c r="L14" s="2"/>
      <c r="M14" s="2"/>
      <c r="O14" t="str" cm="1">
        <f t="array" ref="O14">DASHBOARD!B13</f>
        <v>🚚 CAMION 2</v>
      </c>
      <c r="P14" cm="1">
        <f t="array" ref="P14">DASHBOARD!D13</f>
        <v>3500000</v>
      </c>
    </row>
    <row r="15" spans="1:18" ht="23.4" customHeight="1" x14ac:dyDescent="0.3">
      <c r="B15" s="60" t="s">
        <v>28</v>
      </c>
      <c r="C15" s="60"/>
      <c r="D15" s="76" cm="1">
        <f t="array" ref="D15">'CAMION 4'!D45</f>
        <v>0</v>
      </c>
      <c r="E15" s="76" cm="1">
        <f t="array" ref="E15">'CAMION 4'!E45</f>
        <v>0</v>
      </c>
      <c r="F15" s="76">
        <f>D15-E15</f>
        <v>0</v>
      </c>
      <c r="G15" s="61">
        <f t="shared" si="0"/>
        <v>0</v>
      </c>
      <c r="H15" s="2"/>
      <c r="I15" s="2"/>
      <c r="J15" s="2"/>
      <c r="K15" s="2"/>
      <c r="L15" s="2"/>
      <c r="M15" s="2"/>
      <c r="O15" t="str" cm="1">
        <f t="array" ref="O15">DASHBOARD!B14</f>
        <v>🚚 CAMION 3</v>
      </c>
      <c r="P15" cm="1">
        <f t="array" ref="P15">DASHBOARD!D14</f>
        <v>0</v>
      </c>
    </row>
    <row r="16" spans="1:18" ht="18" x14ac:dyDescent="0.3">
      <c r="B16" s="62" t="s">
        <v>29</v>
      </c>
      <c r="C16" s="62"/>
      <c r="D16" s="77" cm="1">
        <f t="array" ref="D16">'CAMION 5'!D45</f>
        <v>0</v>
      </c>
      <c r="E16" s="77" cm="1">
        <f t="array" ref="E16">'CAMION 5'!E45</f>
        <v>0</v>
      </c>
      <c r="F16" s="77">
        <f>D16-E16</f>
        <v>0</v>
      </c>
      <c r="G16" s="63">
        <f t="shared" si="0"/>
        <v>0</v>
      </c>
      <c r="H16" s="2"/>
      <c r="I16" s="2"/>
      <c r="J16" s="2"/>
      <c r="K16" s="2"/>
      <c r="L16" s="2"/>
      <c r="M16" s="2"/>
    </row>
    <row r="17" spans="2:13" ht="18" x14ac:dyDescent="0.3">
      <c r="B17" s="64"/>
      <c r="C17" s="65"/>
      <c r="D17" s="65"/>
      <c r="E17" s="65"/>
      <c r="F17" s="65"/>
      <c r="G17" s="65"/>
      <c r="H17" s="2"/>
      <c r="I17" s="2"/>
      <c r="J17" s="2"/>
      <c r="K17" s="2"/>
      <c r="L17" s="2"/>
      <c r="M17" s="2"/>
    </row>
    <row r="18" spans="2:13" ht="18.600000000000001" thickBot="1" x14ac:dyDescent="0.35">
      <c r="B18" s="64"/>
      <c r="C18" s="65"/>
      <c r="D18" s="65"/>
      <c r="E18" s="65"/>
      <c r="F18" s="65"/>
      <c r="G18" s="65"/>
      <c r="H18" s="2"/>
      <c r="I18" s="2"/>
      <c r="J18" s="2"/>
      <c r="K18" s="2"/>
      <c r="L18" s="2"/>
      <c r="M18" s="2"/>
    </row>
    <row r="19" spans="2:13" ht="23.4" customHeight="1" thickTop="1" thickBot="1" x14ac:dyDescent="0.35">
      <c r="B19" s="128" t="s">
        <v>37</v>
      </c>
      <c r="C19" s="129"/>
      <c r="D19" s="66">
        <f>SUM(D12:D16)</f>
        <v>7000000</v>
      </c>
      <c r="E19" s="66">
        <f>SUM(E12:E16)</f>
        <v>8254850</v>
      </c>
      <c r="F19" s="66">
        <f>SUM(F12:F16)</f>
        <v>-1254850</v>
      </c>
      <c r="G19" s="67">
        <f t="shared" si="0"/>
        <v>-0.17926428571428571</v>
      </c>
      <c r="H19" s="2"/>
      <c r="I19" s="2"/>
      <c r="J19" s="2"/>
      <c r="K19" s="2"/>
      <c r="L19" s="2"/>
      <c r="M19" s="2"/>
    </row>
    <row r="20" spans="2:13" ht="23.4" customHeight="1" thickTop="1" x14ac:dyDescent="0.3"/>
    <row r="21" spans="2:13" ht="23.4" customHeight="1" x14ac:dyDescent="0.3"/>
    <row r="22" spans="2:13" ht="23.4" customHeight="1" x14ac:dyDescent="0.3">
      <c r="B22" s="10" t="s">
        <v>11</v>
      </c>
      <c r="C22" t="s">
        <v>38</v>
      </c>
    </row>
    <row r="23" spans="2:13" ht="23.4" customHeight="1" x14ac:dyDescent="0.3">
      <c r="B23" s="10" t="str" cm="1">
        <f t="array" ref="B23">DASHBOARD!B12</f>
        <v>🚚 CAMION 1</v>
      </c>
      <c r="C23" cm="1">
        <f t="array" ref="C23">DASHBOARD!G12</f>
        <v>-7.1885714285714289E-2</v>
      </c>
    </row>
    <row r="24" spans="2:13" ht="23.4" customHeight="1" x14ac:dyDescent="0.3">
      <c r="B24" s="10" t="str" cm="1">
        <f t="array" ref="B24">DASHBOARD!B13</f>
        <v>🚚 CAMION 2</v>
      </c>
      <c r="C24" cm="1">
        <f t="array" ref="C24">DASHBOARD!G13</f>
        <v>-0.28664285714285714</v>
      </c>
    </row>
    <row r="25" spans="2:13" ht="23.4" customHeight="1" x14ac:dyDescent="0.3">
      <c r="B25" s="10" t="str" cm="1">
        <f t="array" ref="B25">DASHBOARD!B14</f>
        <v>🚚 CAMION 3</v>
      </c>
      <c r="C25" cm="1">
        <f t="array" ref="C25">DASHBOARD!G14</f>
        <v>0</v>
      </c>
    </row>
    <row r="26" spans="2:13" ht="23.4" customHeight="1" x14ac:dyDescent="0.3"/>
    <row r="27" spans="2:13" ht="23.4" customHeight="1" x14ac:dyDescent="0.3"/>
    <row r="28" spans="2:13" ht="23.4" customHeight="1" x14ac:dyDescent="0.3"/>
    <row r="29" spans="2:13" ht="23.4" customHeight="1" x14ac:dyDescent="0.3"/>
    <row r="30" spans="2:13" ht="23.4" customHeight="1" x14ac:dyDescent="0.3"/>
    <row r="31" spans="2:13" x14ac:dyDescent="0.3"/>
    <row r="32" spans="2:13" x14ac:dyDescent="0.3"/>
    <row r="33" spans="3:13" ht="14.4" customHeight="1" x14ac:dyDescent="0.3"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</row>
    <row r="34" spans="3:13" ht="14.4" customHeight="1" x14ac:dyDescent="0.3"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</row>
    <row r="35" spans="3:13" ht="14.4" customHeight="1" x14ac:dyDescent="0.3"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</row>
    <row r="36" spans="3:13" ht="14.4" customHeight="1" x14ac:dyDescent="0.3"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</row>
    <row r="37" spans="3:13" ht="14.4" customHeight="1" x14ac:dyDescent="0.3"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</row>
    <row r="38" spans="3:13" ht="14.4" customHeight="1" x14ac:dyDescent="0.3"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</row>
    <row r="39" spans="3:13" ht="14.4" customHeight="1" x14ac:dyDescent="0.3"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</row>
    <row r="40" spans="3:13" ht="14.4" customHeight="1" x14ac:dyDescent="0.3"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</row>
    <row r="41" spans="3:13" ht="14.4" customHeight="1" x14ac:dyDescent="0.3"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</row>
    <row r="42" spans="3:13" ht="14.4" customHeight="1" x14ac:dyDescent="0.3"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</row>
    <row r="43" spans="3:13" ht="14.4" customHeight="1" x14ac:dyDescent="0.3"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</row>
    <row r="44" spans="3:13" ht="14.4" customHeight="1" x14ac:dyDescent="0.3"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</row>
    <row r="45" spans="3:13" ht="14.4" customHeight="1" x14ac:dyDescent="0.3"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</row>
    <row r="46" spans="3:13" ht="14.4" customHeight="1" x14ac:dyDescent="0.3"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</row>
    <row r="47" spans="3:13" ht="14.4" customHeight="1" x14ac:dyDescent="0.3"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</row>
    <row r="48" spans="3:13" ht="14.4" customHeight="1" x14ac:dyDescent="0.3"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</row>
    <row r="49" spans="3:13" ht="14.4" customHeight="1" x14ac:dyDescent="0.3"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</row>
    <row r="50" spans="3:13" ht="14.4" customHeight="1" x14ac:dyDescent="0.3"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</row>
    <row r="51" spans="3:13" ht="14.4" customHeight="1" x14ac:dyDescent="0.3"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</row>
    <row r="52" spans="3:13" ht="14.4" customHeight="1" x14ac:dyDescent="0.3"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</row>
    <row r="53" spans="3:13" ht="14.4" customHeight="1" x14ac:dyDescent="0.3"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</row>
    <row r="54" spans="3:13" ht="14.4" customHeight="1" x14ac:dyDescent="0.3"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</row>
    <row r="55" spans="3:13" ht="14.4" customHeight="1" x14ac:dyDescent="0.3"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</row>
    <row r="56" spans="3:13" ht="14.4" customHeight="1" x14ac:dyDescent="0.3"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</row>
    <row r="57" spans="3:13" ht="14.4" customHeight="1" x14ac:dyDescent="0.3"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</row>
    <row r="58" spans="3:13" ht="14.4" customHeight="1" x14ac:dyDescent="0.3"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</row>
    <row r="59" spans="3:13" ht="14.4" customHeight="1" x14ac:dyDescent="0.3"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</row>
    <row r="60" spans="3:13" ht="14.4" customHeight="1" x14ac:dyDescent="0.3"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</row>
    <row r="61" spans="3:13" ht="14.4" customHeight="1" x14ac:dyDescent="0.3"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</row>
    <row r="62" spans="3:13" ht="14.4" customHeight="1" x14ac:dyDescent="0.3"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</row>
    <row r="63" spans="3:13" ht="14.4" customHeight="1" x14ac:dyDescent="0.3"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</row>
    <row r="64" spans="3:13" ht="14.4" customHeight="1" x14ac:dyDescent="0.3"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</row>
    <row r="65" spans="3:13" ht="14.4" customHeight="1" x14ac:dyDescent="0.3"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</row>
    <row r="66" spans="3:13" ht="14.4" customHeight="1" x14ac:dyDescent="0.3"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</row>
  </sheetData>
  <mergeCells count="18">
    <mergeCell ref="B9:D9"/>
    <mergeCell ref="E9:G9"/>
    <mergeCell ref="H9:J9"/>
    <mergeCell ref="B19:C19"/>
    <mergeCell ref="B1:M1"/>
    <mergeCell ref="B2:M2"/>
    <mergeCell ref="B3:D3"/>
    <mergeCell ref="B4:D6"/>
    <mergeCell ref="B7:D7"/>
    <mergeCell ref="E3:G3"/>
    <mergeCell ref="E4:G6"/>
    <mergeCell ref="E7:G7"/>
    <mergeCell ref="H3:J3"/>
    <mergeCell ref="H4:J6"/>
    <mergeCell ref="H7:J7"/>
    <mergeCell ref="K3:M3"/>
    <mergeCell ref="K4:M6"/>
    <mergeCell ref="K7:M7"/>
  </mergeCells>
  <hyperlinks>
    <hyperlink ref="A2" location="'ACCUEIL'!A1" display="🏠 ACCUEIL" xr:uid="{00000000-0004-0000-0100-000000000000}"/>
    <hyperlink ref="A4" location="'DASHBOARD'!A1" display="📊 DASHBOARD" xr:uid="{00000000-0004-0000-0100-000001000000}"/>
    <hyperlink ref="A5" location="'SUPER-COMPARATIF'!A1" display="🏆 COMPARATIF" xr:uid="{00000000-0004-0000-0100-000002000000}"/>
    <hyperlink ref="A6" location="'CAMION 1'!A1" display="🚚 CAMION 1" xr:uid="{00000000-0004-0000-0100-000003000000}"/>
    <hyperlink ref="A7" location="'CAMION 2'!A1" display="🚚 CAMION 2" xr:uid="{00000000-0004-0000-0100-000004000000}"/>
    <hyperlink ref="A8" location="'CAMION 3'!A1" display="🚚 CAMION 3" xr:uid="{00000000-0004-0000-0100-000005000000}"/>
    <hyperlink ref="A9" location="'CAMION 4'!A1" display="🚚 CAMION 4" xr:uid="{00000000-0004-0000-0100-000006000000}"/>
    <hyperlink ref="A10" location="'CAMION 5'!A1" display="🚚 CAMION 5" xr:uid="{00000000-0004-0000-0100-000007000000}"/>
    <hyperlink ref="A11" location="'CAMION 5'!A1" display="  🚚 CAMION 5" xr:uid="{00000000-0004-0000-01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8349-0AB8-FD2E-45BD-D3D85A9B0EA8}">
  <sheetPr codeName="Feuil3">
    <tabColor theme="9"/>
  </sheetPr>
  <dimension ref="A1:Q26"/>
  <sheetViews>
    <sheetView showGridLines="0" workbookViewId="0">
      <selection activeCell="F13" sqref="F13"/>
    </sheetView>
  </sheetViews>
  <sheetFormatPr baseColWidth="10" defaultColWidth="8.88671875" defaultRowHeight="14.4" customHeight="1" x14ac:dyDescent="0.3"/>
  <cols>
    <col min="1" max="1" width="25.6640625" style="11" customWidth="1"/>
    <col min="2" max="2" width="2.6640625" style="10" customWidth="1"/>
    <col min="3" max="3" width="13.88671875" customWidth="1"/>
    <col min="4" max="4" width="14" customWidth="1"/>
    <col min="5" max="5" width="18" customWidth="1"/>
    <col min="6" max="6" width="18.88671875" customWidth="1"/>
    <col min="7" max="7" width="19.5546875" customWidth="1"/>
    <col min="8" max="8" width="15.44140625" customWidth="1"/>
    <col min="9" max="9" width="8.88671875" hidden="1" customWidth="1"/>
  </cols>
  <sheetData>
    <row r="1" spans="1:17" ht="14.4" customHeight="1" x14ac:dyDescent="0.3">
      <c r="C1" s="12"/>
      <c r="D1" s="12"/>
      <c r="E1" s="12"/>
      <c r="F1" s="12"/>
      <c r="G1" s="12"/>
      <c r="H1" s="12"/>
      <c r="J1" s="12"/>
      <c r="K1" s="12"/>
      <c r="L1" s="12"/>
      <c r="M1" s="12"/>
      <c r="N1" s="12"/>
      <c r="O1" s="12"/>
      <c r="P1" s="12"/>
      <c r="Q1" s="12"/>
    </row>
    <row r="2" spans="1:17" ht="28.5" customHeight="1" x14ac:dyDescent="0.55000000000000004">
      <c r="A2" s="7" t="s">
        <v>9</v>
      </c>
      <c r="C2" s="139" t="s">
        <v>39</v>
      </c>
      <c r="D2" s="139"/>
      <c r="E2" s="139"/>
      <c r="F2" s="139"/>
      <c r="G2" s="139"/>
      <c r="H2" s="139"/>
      <c r="I2" s="139"/>
      <c r="J2" s="12"/>
      <c r="K2" s="12"/>
      <c r="L2" s="12"/>
      <c r="M2" s="12"/>
      <c r="N2" s="12"/>
      <c r="O2" s="12"/>
      <c r="P2" s="12"/>
      <c r="Q2" s="12"/>
    </row>
    <row r="3" spans="1:17" ht="14.4" customHeight="1" x14ac:dyDescent="0.3">
      <c r="C3" s="2"/>
      <c r="D3" s="2"/>
      <c r="E3" s="2"/>
      <c r="F3" s="2"/>
      <c r="G3" s="2"/>
      <c r="H3" s="2"/>
      <c r="I3" s="2"/>
      <c r="J3" s="12"/>
      <c r="K3" s="12"/>
      <c r="L3" s="12"/>
      <c r="M3" s="12"/>
      <c r="N3" s="12"/>
      <c r="O3" s="12"/>
      <c r="P3" s="12"/>
      <c r="Q3" s="12"/>
    </row>
    <row r="4" spans="1:17" ht="24.75" customHeight="1" x14ac:dyDescent="0.3">
      <c r="A4" s="8" t="s">
        <v>20</v>
      </c>
      <c r="C4" s="2"/>
      <c r="D4" s="2"/>
      <c r="E4" s="2"/>
      <c r="F4" s="2"/>
      <c r="G4" s="2"/>
      <c r="H4" s="2"/>
      <c r="I4" s="2"/>
      <c r="J4" s="12"/>
      <c r="K4" s="12"/>
      <c r="L4" s="12"/>
      <c r="M4" s="12"/>
      <c r="N4" s="12"/>
      <c r="O4" s="12"/>
      <c r="P4" s="12"/>
      <c r="Q4" s="12"/>
    </row>
    <row r="5" spans="1:17" ht="24.75" customHeight="1" x14ac:dyDescent="0.5">
      <c r="A5" s="8" t="s">
        <v>22</v>
      </c>
      <c r="C5" s="140" t="s">
        <v>40</v>
      </c>
      <c r="D5" s="140"/>
      <c r="E5" s="140"/>
      <c r="F5" s="140"/>
      <c r="G5" s="140"/>
      <c r="H5" s="140"/>
      <c r="I5" s="140"/>
      <c r="J5" s="12"/>
      <c r="K5" s="12"/>
      <c r="L5" s="12"/>
      <c r="M5" s="12"/>
      <c r="N5" s="12"/>
      <c r="O5" s="12"/>
      <c r="P5" s="12"/>
      <c r="Q5" s="12"/>
    </row>
    <row r="6" spans="1:17" ht="24.75" customHeight="1" x14ac:dyDescent="0.3">
      <c r="A6" s="8" t="s">
        <v>19</v>
      </c>
      <c r="C6" s="2"/>
      <c r="D6" s="2"/>
      <c r="E6" s="2"/>
      <c r="F6" s="2"/>
      <c r="G6" s="2"/>
      <c r="H6" s="2"/>
      <c r="I6" s="2"/>
      <c r="J6" s="12"/>
      <c r="K6" s="12"/>
      <c r="L6" s="12"/>
      <c r="M6" s="12"/>
      <c r="N6" s="12"/>
      <c r="O6" s="12"/>
      <c r="P6" s="12"/>
      <c r="Q6" s="12"/>
    </row>
    <row r="7" spans="1:17" ht="24.75" customHeight="1" x14ac:dyDescent="0.3">
      <c r="A7" s="8" t="s">
        <v>21</v>
      </c>
      <c r="C7" s="13"/>
      <c r="D7" s="14" t="s">
        <v>41</v>
      </c>
      <c r="E7" s="13"/>
      <c r="F7" s="2"/>
      <c r="G7" s="2"/>
      <c r="H7" s="2"/>
      <c r="I7" s="2"/>
      <c r="J7" s="12"/>
      <c r="K7" s="12"/>
      <c r="L7" s="12"/>
      <c r="M7" s="12"/>
      <c r="N7" s="12"/>
      <c r="O7" s="12"/>
      <c r="P7" s="12"/>
      <c r="Q7" s="12"/>
    </row>
    <row r="8" spans="1:17" ht="24.75" customHeight="1" x14ac:dyDescent="0.3">
      <c r="A8" s="8" t="s">
        <v>23</v>
      </c>
      <c r="C8" s="15" t="s">
        <v>42</v>
      </c>
      <c r="D8" s="16" t="str">
        <f>INDEX(D12:D16,MATCH(LARGE(G12:G16,1),G12:G16,0))</f>
        <v>CAMION 3</v>
      </c>
      <c r="E8" s="17" t="s">
        <v>44</v>
      </c>
      <c r="F8" s="2"/>
      <c r="G8" s="2"/>
      <c r="H8" s="2"/>
      <c r="I8" s="2"/>
      <c r="J8" s="12"/>
      <c r="K8" s="12"/>
      <c r="L8" s="12"/>
      <c r="M8" s="12"/>
      <c r="N8" s="12"/>
      <c r="O8" s="12"/>
      <c r="P8" s="12"/>
      <c r="Q8" s="12"/>
    </row>
    <row r="9" spans="1:17" ht="24.75" customHeight="1" x14ac:dyDescent="0.3">
      <c r="A9" s="8" t="s">
        <v>28</v>
      </c>
      <c r="C9" s="18" t="str">
        <f>INDEX(D12:D16,MATCH(LARGE(G12:G16,2),G12:G16,0))</f>
        <v>CAMION 3</v>
      </c>
      <c r="D9" s="13"/>
      <c r="E9" s="19" t="str">
        <f>INDEX(D12:D16,MATCH(LARGE(G12:G16,3),G12:G16,0))</f>
        <v>CAMION 1</v>
      </c>
      <c r="F9" s="2"/>
      <c r="G9" s="2"/>
      <c r="H9" s="2"/>
      <c r="I9" s="2"/>
      <c r="J9" s="12"/>
      <c r="K9" s="12"/>
      <c r="L9" s="12"/>
      <c r="M9" s="12"/>
      <c r="N9" s="12"/>
      <c r="O9" s="12"/>
      <c r="P9" s="12"/>
      <c r="Q9" s="12"/>
    </row>
    <row r="10" spans="1:17" ht="24.75" customHeight="1" x14ac:dyDescent="0.3">
      <c r="A10" s="8" t="s">
        <v>29</v>
      </c>
      <c r="C10" s="2"/>
      <c r="D10" s="2"/>
      <c r="E10" s="2"/>
      <c r="F10" s="2"/>
      <c r="G10" s="2"/>
      <c r="H10" s="2"/>
      <c r="I10" s="2"/>
      <c r="J10" s="12"/>
      <c r="K10" s="12"/>
      <c r="L10" s="12"/>
      <c r="M10" s="12"/>
      <c r="N10" s="12"/>
      <c r="O10" s="12"/>
      <c r="P10" s="12"/>
      <c r="Q10" s="12"/>
    </row>
    <row r="11" spans="1:17" ht="14.4" customHeight="1" x14ac:dyDescent="0.3">
      <c r="A11" s="9" t="s">
        <v>30</v>
      </c>
      <c r="C11" s="12"/>
      <c r="D11" s="12"/>
      <c r="E11" s="12"/>
      <c r="F11" s="12"/>
      <c r="G11" s="12"/>
      <c r="H11" s="12"/>
      <c r="I11" s="20"/>
      <c r="J11" s="12"/>
      <c r="K11" s="12"/>
      <c r="L11" s="12"/>
      <c r="M11" s="12"/>
      <c r="N11" s="12"/>
      <c r="O11" s="12"/>
      <c r="P11" s="12"/>
      <c r="Q11" s="12"/>
    </row>
    <row r="12" spans="1:17" ht="14.4" customHeight="1" x14ac:dyDescent="0.3">
      <c r="C12" s="21" t="s">
        <v>47</v>
      </c>
      <c r="D12" s="21" t="s">
        <v>48</v>
      </c>
      <c r="E12" s="21" t="s">
        <v>49</v>
      </c>
      <c r="F12" s="21" t="s">
        <v>50</v>
      </c>
      <c r="G12" s="21" t="s">
        <v>51</v>
      </c>
      <c r="H12" s="21" t="s">
        <v>52</v>
      </c>
      <c r="I12" s="2"/>
      <c r="J12" s="12"/>
      <c r="K12" s="12"/>
      <c r="L12" s="12"/>
      <c r="M12" s="12"/>
      <c r="N12" s="12"/>
      <c r="O12" s="12"/>
      <c r="P12" s="12"/>
      <c r="Q12" s="12"/>
    </row>
    <row r="13" spans="1:17" ht="14.4" customHeight="1" x14ac:dyDescent="0.3">
      <c r="C13" s="22">
        <v>1</v>
      </c>
      <c r="D13" s="23" t="s">
        <v>46</v>
      </c>
      <c r="E13" s="24">
        <f>'CAMION 1'!D44</f>
        <v>3500000</v>
      </c>
      <c r="F13" s="24">
        <f>'CAMION 1'!E44</f>
        <v>3751600</v>
      </c>
      <c r="G13" s="24">
        <f>E13-F13</f>
        <v>-251600</v>
      </c>
      <c r="H13" s="25">
        <f>G13/E13</f>
        <v>-7.1885714285714289E-2</v>
      </c>
      <c r="I13" s="2"/>
      <c r="J13" s="12"/>
      <c r="K13" s="12"/>
      <c r="L13" s="12"/>
      <c r="M13" s="12"/>
      <c r="N13" s="12"/>
      <c r="O13" s="12"/>
      <c r="P13" s="12"/>
      <c r="Q13" s="12"/>
    </row>
    <row r="14" spans="1:17" ht="14.4" customHeight="1" x14ac:dyDescent="0.3">
      <c r="C14" s="22">
        <v>2</v>
      </c>
      <c r="D14" s="23" t="s">
        <v>43</v>
      </c>
      <c r="E14" s="24">
        <f>'CAMION 2'!D45</f>
        <v>3500000</v>
      </c>
      <c r="F14" s="24">
        <f>'CAMION 2'!E45</f>
        <v>4503250</v>
      </c>
      <c r="G14" s="24">
        <f>E14-F14</f>
        <v>-1003250</v>
      </c>
      <c r="H14" s="25">
        <f>G14/E14</f>
        <v>-0.28664285714285714</v>
      </c>
      <c r="I14" s="2"/>
      <c r="J14" s="12"/>
      <c r="K14" s="12"/>
      <c r="L14" s="12"/>
      <c r="M14" s="12"/>
      <c r="N14" s="12"/>
      <c r="O14" s="12"/>
      <c r="P14" s="12"/>
      <c r="Q14" s="12"/>
    </row>
    <row r="15" spans="1:17" ht="14.4" customHeight="1" x14ac:dyDescent="0.3">
      <c r="C15" s="22">
        <v>3</v>
      </c>
      <c r="D15" s="23" t="s">
        <v>45</v>
      </c>
      <c r="E15" s="24">
        <f>'CAMION 3'!D45</f>
        <v>0</v>
      </c>
      <c r="F15" s="24">
        <f>'CAMION 3'!E45</f>
        <v>0</v>
      </c>
      <c r="G15" s="24">
        <f>E15-F15</f>
        <v>0</v>
      </c>
      <c r="H15" s="25" t="e">
        <f>G15/E15</f>
        <v>#DIV/0!</v>
      </c>
      <c r="I15" s="2"/>
      <c r="J15" s="12"/>
      <c r="K15" s="12"/>
      <c r="L15" s="12"/>
      <c r="M15" s="12"/>
      <c r="N15" s="12"/>
      <c r="O15" s="12"/>
      <c r="P15" s="12"/>
      <c r="Q15" s="12"/>
    </row>
    <row r="16" spans="1:17" ht="14.4" customHeight="1" x14ac:dyDescent="0.3">
      <c r="C16" s="22">
        <v>4</v>
      </c>
      <c r="D16" s="23" t="s">
        <v>53</v>
      </c>
      <c r="E16" s="24">
        <f>'CAMION 4'!D45</f>
        <v>0</v>
      </c>
      <c r="F16" s="24">
        <f>'CAMION 4'!E45</f>
        <v>0</v>
      </c>
      <c r="G16" s="24">
        <f>E16-F16</f>
        <v>0</v>
      </c>
      <c r="H16" s="25">
        <f>IF(E16&gt;0,G16/E16,0)</f>
        <v>0</v>
      </c>
      <c r="I16" s="2"/>
      <c r="J16" s="12"/>
    </row>
    <row r="17" spans="3:17" ht="14.4" customHeight="1" x14ac:dyDescent="0.3">
      <c r="C17" s="22">
        <v>5</v>
      </c>
      <c r="D17" s="23" t="s">
        <v>54</v>
      </c>
      <c r="E17" s="24">
        <f>'CAMION 5'!D45</f>
        <v>0</v>
      </c>
      <c r="F17" s="24">
        <f>'CAMION 5'!E45</f>
        <v>0</v>
      </c>
      <c r="G17" s="24">
        <f>E17-F17</f>
        <v>0</v>
      </c>
      <c r="H17" s="25">
        <f>IF(E17&gt;0,G17/E17,0)</f>
        <v>0</v>
      </c>
      <c r="I17" s="2"/>
      <c r="J17" s="12"/>
    </row>
    <row r="18" spans="3:17" ht="14.4" customHeight="1" x14ac:dyDescent="0.3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3:17" ht="14.4" customHeight="1" x14ac:dyDescent="0.3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3:17" ht="14.4" customHeight="1" x14ac:dyDescent="0.3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3:17" ht="14.4" customHeight="1" x14ac:dyDescent="0.3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3:17" ht="14.4" customHeight="1" x14ac:dyDescent="0.3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3:17" ht="14.4" customHeight="1" x14ac:dyDescent="0.3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3:17" ht="14.4" customHeight="1" x14ac:dyDescent="0.3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3:17" ht="14.4" customHeight="1" x14ac:dyDescent="0.3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3:17" ht="14.4" customHeight="1" x14ac:dyDescent="0.3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</sheetData>
  <mergeCells count="2">
    <mergeCell ref="C2:I2"/>
    <mergeCell ref="C5:I5"/>
  </mergeCells>
  <hyperlinks>
    <hyperlink ref="A2" location="'ACCUEIL'!A1" display="🏠 ACCUEIL" xr:uid="{00000000-0004-0000-0200-000000000000}"/>
    <hyperlink ref="A4" location="'DASHBOARD'!A1" display="📊 DASHBOARD" xr:uid="{00000000-0004-0000-0200-000001000000}"/>
    <hyperlink ref="A5" location="'SUPER-COMPARATIF'!A1" display="🏆 COMPARATIF" xr:uid="{00000000-0004-0000-0200-000002000000}"/>
    <hyperlink ref="A6" location="'CAMION 1'!A1" display="🚚 CAMION 1" xr:uid="{00000000-0004-0000-0200-000003000000}"/>
    <hyperlink ref="A7" location="'CAMION 2'!A1" display="🚚 CAMION 2" xr:uid="{00000000-0004-0000-0200-000004000000}"/>
    <hyperlink ref="A8" location="'CAMION 3'!A1" display="🚚 CAMION 3" xr:uid="{00000000-0004-0000-0200-000005000000}"/>
    <hyperlink ref="A9" location="'CAMION 4'!A1" display="🚚 CAMION 4" xr:uid="{00000000-0004-0000-0200-000006000000}"/>
    <hyperlink ref="A10" location="'CAMION 5'!A1" display="🚚 CAMION 5" xr:uid="{00000000-0004-0000-0200-000007000000}"/>
    <hyperlink ref="A11" location="'CAMION 5'!A1" display="  🚚 CAMION 5" xr:uid="{00000000-0004-0000-02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D398-FAE8-8541-7558-3D61BB23A155}">
  <sheetPr codeName="Feuil4">
    <tabColor rgb="FFFFFF00"/>
  </sheetPr>
  <dimension ref="A1:H102"/>
  <sheetViews>
    <sheetView showGridLines="0" topLeftCell="A8" workbookViewId="0">
      <selection activeCell="H24" sqref="H24"/>
    </sheetView>
  </sheetViews>
  <sheetFormatPr baseColWidth="10" defaultColWidth="8.88671875" defaultRowHeight="14.4" customHeight="1" x14ac:dyDescent="0.3"/>
  <cols>
    <col min="1" max="1" width="25.6640625" style="11" customWidth="1"/>
    <col min="2" max="2" width="5.6640625" style="10" customWidth="1"/>
    <col min="3" max="3" width="12.6640625" style="37" customWidth="1"/>
    <col min="4" max="4" width="20.6640625" customWidth="1"/>
    <col min="5" max="5" width="36.109375" customWidth="1"/>
    <col min="6" max="6" width="21.44140625" style="38" customWidth="1"/>
    <col min="7" max="7" width="21.6640625" style="38" customWidth="1"/>
    <col min="8" max="8" width="19.44140625" customWidth="1"/>
  </cols>
  <sheetData>
    <row r="1" spans="1:8" ht="30.75" customHeight="1" x14ac:dyDescent="0.3">
      <c r="B1" s="146" t="s">
        <v>72</v>
      </c>
      <c r="C1" s="147"/>
      <c r="D1" s="147"/>
      <c r="E1" s="147"/>
      <c r="F1" s="147"/>
      <c r="G1" s="147"/>
      <c r="H1" s="148"/>
    </row>
    <row r="2" spans="1:8" ht="25.5" customHeight="1" x14ac:dyDescent="0.3">
      <c r="A2" s="7" t="s">
        <v>9</v>
      </c>
      <c r="B2" s="145" t="s">
        <v>55</v>
      </c>
      <c r="C2" s="145"/>
      <c r="D2" s="145"/>
      <c r="E2" s="145"/>
      <c r="F2" s="145"/>
      <c r="G2" s="145"/>
      <c r="H2" s="145"/>
    </row>
    <row r="3" spans="1:8" ht="21.75" customHeight="1" x14ac:dyDescent="0.3">
      <c r="B3" s="145"/>
      <c r="C3" s="145"/>
      <c r="D3" s="145"/>
      <c r="E3" s="145"/>
      <c r="F3" s="145"/>
      <c r="G3" s="145"/>
      <c r="H3" s="145"/>
    </row>
    <row r="4" spans="1:8" s="26" customFormat="1" ht="21.75" customHeight="1" x14ac:dyDescent="0.3">
      <c r="A4" s="27" t="s">
        <v>20</v>
      </c>
      <c r="B4" s="145"/>
      <c r="C4" s="145"/>
      <c r="D4" s="145"/>
      <c r="E4" s="145"/>
      <c r="F4" s="145"/>
      <c r="G4" s="145"/>
      <c r="H4" s="145"/>
    </row>
    <row r="5" spans="1:8" s="26" customFormat="1" ht="21.75" customHeight="1" x14ac:dyDescent="0.3">
      <c r="A5" s="27" t="s">
        <v>22</v>
      </c>
      <c r="B5" s="145"/>
      <c r="C5" s="145"/>
      <c r="D5" s="145"/>
      <c r="E5" s="145"/>
      <c r="F5" s="145"/>
      <c r="G5" s="145"/>
      <c r="H5" s="145"/>
    </row>
    <row r="6" spans="1:8" s="26" customFormat="1" ht="21.75" customHeight="1" x14ac:dyDescent="0.3">
      <c r="A6" s="27" t="s">
        <v>19</v>
      </c>
      <c r="B6" s="145"/>
      <c r="C6" s="145"/>
      <c r="D6" s="145"/>
      <c r="E6" s="145"/>
      <c r="F6" s="145"/>
      <c r="G6" s="145"/>
      <c r="H6" s="145"/>
    </row>
    <row r="7" spans="1:8" s="26" customFormat="1" ht="21.75" customHeight="1" x14ac:dyDescent="0.3">
      <c r="A7" s="27" t="s">
        <v>21</v>
      </c>
      <c r="B7" s="145"/>
      <c r="C7" s="145"/>
      <c r="D7" s="145"/>
      <c r="E7" s="145"/>
      <c r="F7" s="145"/>
      <c r="G7" s="145"/>
      <c r="H7" s="145"/>
    </row>
    <row r="8" spans="1:8" s="26" customFormat="1" ht="21.75" customHeight="1" x14ac:dyDescent="0.3">
      <c r="A8" s="27" t="s">
        <v>23</v>
      </c>
      <c r="B8" s="145"/>
      <c r="C8" s="145"/>
      <c r="D8" s="145"/>
      <c r="E8" s="145"/>
      <c r="F8" s="145"/>
      <c r="G8" s="145"/>
      <c r="H8" s="145"/>
    </row>
    <row r="9" spans="1:8" s="26" customFormat="1" ht="21.75" customHeight="1" x14ac:dyDescent="0.3">
      <c r="A9" s="27" t="s">
        <v>28</v>
      </c>
      <c r="B9" s="28"/>
      <c r="C9" s="29" t="s">
        <v>56</v>
      </c>
      <c r="D9" s="29" t="s">
        <v>57</v>
      </c>
      <c r="E9" s="29" t="s">
        <v>58</v>
      </c>
      <c r="F9" s="29" t="s">
        <v>49</v>
      </c>
      <c r="G9" s="29" t="s">
        <v>50</v>
      </c>
      <c r="H9" s="29" t="s">
        <v>59</v>
      </c>
    </row>
    <row r="10" spans="1:8" s="26" customFormat="1" ht="21.75" customHeight="1" x14ac:dyDescent="0.3">
      <c r="A10" s="27" t="s">
        <v>29</v>
      </c>
      <c r="B10" s="28"/>
      <c r="C10" s="30">
        <v>46077</v>
      </c>
      <c r="D10" s="31" t="s">
        <v>60</v>
      </c>
      <c r="E10" s="78" t="s">
        <v>77</v>
      </c>
      <c r="F10" s="32"/>
      <c r="G10" s="32">
        <v>737000</v>
      </c>
      <c r="H10" s="31" t="s">
        <v>61</v>
      </c>
    </row>
    <row r="11" spans="1:8" ht="21.75" customHeight="1" x14ac:dyDescent="0.3">
      <c r="A11" s="9" t="s">
        <v>30</v>
      </c>
      <c r="C11" s="30">
        <v>46077</v>
      </c>
      <c r="D11" s="31" t="s">
        <v>62</v>
      </c>
      <c r="E11" s="78" t="s">
        <v>75</v>
      </c>
      <c r="F11" s="32"/>
      <c r="G11" s="32">
        <v>360000</v>
      </c>
      <c r="H11" s="31" t="s">
        <v>61</v>
      </c>
    </row>
    <row r="12" spans="1:8" ht="21.75" customHeight="1" x14ac:dyDescent="0.3">
      <c r="C12" s="30">
        <v>46077</v>
      </c>
      <c r="D12" s="31" t="s">
        <v>60</v>
      </c>
      <c r="E12" s="78" t="s">
        <v>78</v>
      </c>
      <c r="F12" s="32"/>
      <c r="G12" s="32">
        <v>268000</v>
      </c>
      <c r="H12" s="31" t="s">
        <v>61</v>
      </c>
    </row>
    <row r="13" spans="1:8" ht="21.75" customHeight="1" x14ac:dyDescent="0.3">
      <c r="C13" s="30">
        <v>46077</v>
      </c>
      <c r="D13" s="31" t="s">
        <v>84</v>
      </c>
      <c r="E13" s="78" t="s">
        <v>80</v>
      </c>
      <c r="F13" s="32"/>
      <c r="G13" s="32">
        <v>204000</v>
      </c>
      <c r="H13" s="31" t="s">
        <v>61</v>
      </c>
    </row>
    <row r="14" spans="1:8" ht="21.75" customHeight="1" x14ac:dyDescent="0.3">
      <c r="C14" s="30">
        <v>46077</v>
      </c>
      <c r="D14" s="31" t="s">
        <v>67</v>
      </c>
      <c r="E14" s="78" t="s">
        <v>79</v>
      </c>
      <c r="F14" s="32"/>
      <c r="G14" s="32">
        <v>457600</v>
      </c>
      <c r="H14" s="31" t="s">
        <v>61</v>
      </c>
    </row>
    <row r="15" spans="1:8" ht="21.75" customHeight="1" x14ac:dyDescent="0.3">
      <c r="C15" s="30">
        <v>46077</v>
      </c>
      <c r="D15" s="31" t="s">
        <v>84</v>
      </c>
      <c r="E15" s="79" t="s">
        <v>85</v>
      </c>
      <c r="F15" s="32">
        <v>3500000</v>
      </c>
      <c r="G15" s="32"/>
      <c r="H15" s="31" t="s">
        <v>61</v>
      </c>
    </row>
    <row r="16" spans="1:8" ht="21.75" customHeight="1" x14ac:dyDescent="0.3">
      <c r="C16" s="30">
        <v>46093</v>
      </c>
      <c r="D16" s="31" t="s">
        <v>86</v>
      </c>
      <c r="E16" s="31" t="s">
        <v>95</v>
      </c>
      <c r="F16" s="32"/>
      <c r="G16" s="32">
        <v>100000</v>
      </c>
      <c r="H16" s="31" t="s">
        <v>61</v>
      </c>
    </row>
    <row r="17" spans="3:8" ht="21.75" customHeight="1" x14ac:dyDescent="0.3">
      <c r="C17" s="30">
        <v>46093</v>
      </c>
      <c r="D17" s="31"/>
      <c r="E17" s="31" t="s">
        <v>90</v>
      </c>
      <c r="F17" s="32"/>
      <c r="G17" s="32">
        <v>50000</v>
      </c>
      <c r="H17" s="31" t="s">
        <v>61</v>
      </c>
    </row>
    <row r="18" spans="3:8" ht="21.75" customHeight="1" x14ac:dyDescent="0.3">
      <c r="C18" s="30">
        <v>46093</v>
      </c>
      <c r="D18" s="31" t="s">
        <v>91</v>
      </c>
      <c r="E18" s="31" t="s">
        <v>96</v>
      </c>
      <c r="F18" s="32"/>
      <c r="G18" s="32">
        <v>110000</v>
      </c>
      <c r="H18" s="31" t="s">
        <v>61</v>
      </c>
    </row>
    <row r="19" spans="3:8" ht="21.75" customHeight="1" x14ac:dyDescent="0.3">
      <c r="C19" s="30">
        <v>46093</v>
      </c>
      <c r="D19" s="31" t="s">
        <v>84</v>
      </c>
      <c r="E19" s="31" t="s">
        <v>92</v>
      </c>
      <c r="F19" s="32"/>
      <c r="G19" s="32">
        <v>50000</v>
      </c>
      <c r="H19" s="31" t="s">
        <v>61</v>
      </c>
    </row>
    <row r="20" spans="3:8" ht="21.75" customHeight="1" x14ac:dyDescent="0.3">
      <c r="C20" s="30">
        <v>46093</v>
      </c>
      <c r="D20" s="31" t="s">
        <v>93</v>
      </c>
      <c r="E20" s="31" t="s">
        <v>94</v>
      </c>
      <c r="F20" s="32"/>
      <c r="G20" s="32">
        <v>3000</v>
      </c>
      <c r="H20" s="31" t="s">
        <v>61</v>
      </c>
    </row>
    <row r="21" spans="3:8" ht="21.75" customHeight="1" x14ac:dyDescent="0.3">
      <c r="C21" s="30">
        <v>46093</v>
      </c>
      <c r="D21" s="31" t="s">
        <v>60</v>
      </c>
      <c r="E21" s="31" t="s">
        <v>77</v>
      </c>
      <c r="F21" s="32"/>
      <c r="G21" s="32">
        <v>737000</v>
      </c>
      <c r="H21" s="31" t="s">
        <v>61</v>
      </c>
    </row>
    <row r="22" spans="3:8" ht="21.75" customHeight="1" x14ac:dyDescent="0.3">
      <c r="C22" s="30">
        <v>46093</v>
      </c>
      <c r="D22" s="31" t="s">
        <v>62</v>
      </c>
      <c r="E22" s="31" t="s">
        <v>75</v>
      </c>
      <c r="F22" s="32"/>
      <c r="G22" s="32">
        <v>360000</v>
      </c>
      <c r="H22" s="31" t="s">
        <v>61</v>
      </c>
    </row>
    <row r="23" spans="3:8" ht="21.75" customHeight="1" x14ac:dyDescent="0.3">
      <c r="C23" s="30">
        <v>46108</v>
      </c>
      <c r="D23" s="31" t="s">
        <v>84</v>
      </c>
      <c r="E23" s="31" t="s">
        <v>101</v>
      </c>
      <c r="F23" s="32"/>
      <c r="G23" s="32">
        <v>290000</v>
      </c>
      <c r="H23" s="31" t="s">
        <v>61</v>
      </c>
    </row>
    <row r="24" spans="3:8" ht="21.75" customHeight="1" x14ac:dyDescent="0.3">
      <c r="C24" s="30" t="s">
        <v>108</v>
      </c>
      <c r="D24" s="31" t="s">
        <v>84</v>
      </c>
      <c r="E24" s="31" t="s">
        <v>102</v>
      </c>
      <c r="F24" s="32"/>
      <c r="G24" s="32">
        <v>25000</v>
      </c>
      <c r="H24" s="31" t="s">
        <v>61</v>
      </c>
    </row>
    <row r="25" spans="3:8" ht="21.75" customHeight="1" x14ac:dyDescent="0.3">
      <c r="C25" s="30"/>
      <c r="D25" s="31"/>
      <c r="E25" s="31"/>
      <c r="F25" s="32"/>
      <c r="G25" s="32"/>
      <c r="H25" s="31"/>
    </row>
    <row r="26" spans="3:8" ht="21.75" customHeight="1" x14ac:dyDescent="0.3">
      <c r="C26" s="30"/>
      <c r="D26" s="31"/>
      <c r="E26" s="31"/>
      <c r="F26" s="32"/>
      <c r="G26" s="32"/>
      <c r="H26" s="31"/>
    </row>
    <row r="27" spans="3:8" ht="21.75" customHeight="1" x14ac:dyDescent="0.3">
      <c r="C27" s="30"/>
      <c r="D27" s="31"/>
      <c r="E27" s="31"/>
      <c r="F27" s="32"/>
      <c r="G27" s="32"/>
      <c r="H27" s="31"/>
    </row>
    <row r="28" spans="3:8" ht="21.75" customHeight="1" x14ac:dyDescent="0.3">
      <c r="C28" s="30"/>
      <c r="D28" s="31"/>
      <c r="E28" s="31"/>
      <c r="F28" s="32"/>
      <c r="G28" s="32"/>
      <c r="H28" s="31"/>
    </row>
    <row r="29" spans="3:8" ht="21.75" customHeight="1" x14ac:dyDescent="0.3">
      <c r="C29" s="30"/>
      <c r="D29" s="31"/>
      <c r="E29" s="31"/>
      <c r="F29" s="32"/>
      <c r="G29" s="32"/>
      <c r="H29" s="31"/>
    </row>
    <row r="30" spans="3:8" ht="21.75" customHeight="1" x14ac:dyDescent="0.3">
      <c r="C30" s="30"/>
      <c r="D30" s="31"/>
      <c r="E30" s="31"/>
      <c r="F30" s="32"/>
      <c r="G30" s="32"/>
      <c r="H30" s="31"/>
    </row>
    <row r="31" spans="3:8" ht="21.75" customHeight="1" x14ac:dyDescent="0.3">
      <c r="C31" s="30"/>
      <c r="D31" s="31"/>
      <c r="E31" s="31"/>
      <c r="F31" s="32"/>
      <c r="G31" s="32"/>
      <c r="H31" s="31"/>
    </row>
    <row r="32" spans="3:8" ht="21.75" customHeight="1" x14ac:dyDescent="0.3">
      <c r="C32" s="30"/>
      <c r="D32" s="31"/>
      <c r="E32" s="31"/>
      <c r="F32" s="32"/>
      <c r="G32" s="32"/>
      <c r="H32" s="31"/>
    </row>
    <row r="33" spans="3:8" ht="21.75" customHeight="1" x14ac:dyDescent="0.3">
      <c r="C33" s="30"/>
      <c r="D33" s="31"/>
      <c r="E33" s="31"/>
      <c r="F33" s="32"/>
      <c r="G33" s="32"/>
      <c r="H33" s="31"/>
    </row>
    <row r="34" spans="3:8" ht="21.75" customHeight="1" x14ac:dyDescent="0.3">
      <c r="C34" s="30"/>
      <c r="D34" s="31"/>
      <c r="E34" s="31"/>
      <c r="F34" s="32"/>
      <c r="G34" s="32"/>
      <c r="H34" s="31"/>
    </row>
    <row r="35" spans="3:8" ht="21.75" customHeight="1" x14ac:dyDescent="0.3">
      <c r="C35" s="30"/>
      <c r="D35" s="31"/>
      <c r="E35" s="31"/>
      <c r="F35" s="32"/>
      <c r="G35" s="32"/>
      <c r="H35" s="31"/>
    </row>
    <row r="36" spans="3:8" ht="21.75" customHeight="1" x14ac:dyDescent="0.3">
      <c r="C36" s="30"/>
      <c r="D36" s="31"/>
      <c r="E36" s="31"/>
      <c r="F36" s="32"/>
      <c r="G36" s="32"/>
      <c r="H36" s="31"/>
    </row>
    <row r="37" spans="3:8" ht="21.75" customHeight="1" x14ac:dyDescent="0.3">
      <c r="C37" s="30"/>
      <c r="D37" s="31"/>
      <c r="E37" s="31"/>
      <c r="F37" s="32"/>
      <c r="G37" s="32"/>
      <c r="H37" s="31"/>
    </row>
    <row r="38" spans="3:8" ht="21.75" customHeight="1" x14ac:dyDescent="0.3">
      <c r="C38" s="30"/>
      <c r="D38" s="31"/>
      <c r="E38" s="31"/>
      <c r="F38" s="32"/>
      <c r="G38" s="32"/>
      <c r="H38" s="31"/>
    </row>
    <row r="39" spans="3:8" ht="21.75" customHeight="1" x14ac:dyDescent="0.3">
      <c r="C39" s="30"/>
      <c r="D39" s="31"/>
      <c r="E39" s="31"/>
      <c r="F39" s="32"/>
      <c r="G39" s="32"/>
      <c r="H39" s="31"/>
    </row>
    <row r="40" spans="3:8" ht="21.75" customHeight="1" x14ac:dyDescent="0.3">
      <c r="C40" s="30"/>
      <c r="D40" s="31"/>
      <c r="E40" s="31"/>
      <c r="F40" s="32"/>
      <c r="G40" s="32"/>
      <c r="H40" s="31"/>
    </row>
    <row r="41" spans="3:8" ht="21.75" customHeight="1" x14ac:dyDescent="0.3">
      <c r="C41" s="30"/>
      <c r="D41" s="31"/>
      <c r="E41" s="31"/>
      <c r="F41" s="32"/>
      <c r="G41" s="32"/>
      <c r="H41" s="31"/>
    </row>
    <row r="42" spans="3:8" ht="21.75" customHeight="1" x14ac:dyDescent="0.3">
      <c r="C42" s="30"/>
      <c r="D42" s="31"/>
      <c r="E42" s="31"/>
      <c r="F42" s="32"/>
      <c r="G42" s="32"/>
      <c r="H42" s="31"/>
    </row>
    <row r="43" spans="3:8" ht="21.75" customHeight="1" x14ac:dyDescent="0.3">
      <c r="C43" s="30"/>
      <c r="D43" s="31"/>
      <c r="E43" s="31"/>
      <c r="F43" s="32"/>
      <c r="G43" s="32"/>
      <c r="H43" s="31"/>
    </row>
    <row r="44" spans="3:8" ht="21.75" customHeight="1" x14ac:dyDescent="0.3">
      <c r="C44" s="33" t="s">
        <v>63</v>
      </c>
      <c r="D44" s="34">
        <f>SUM(F10:F43)</f>
        <v>3500000</v>
      </c>
      <c r="E44" s="34">
        <f>SUM(G10:G43)</f>
        <v>3751600</v>
      </c>
      <c r="F44" s="141"/>
      <c r="G44" s="142"/>
    </row>
    <row r="45" spans="3:8" ht="14.4" customHeight="1" x14ac:dyDescent="0.3">
      <c r="D45" s="35" t="s">
        <v>64</v>
      </c>
      <c r="E45" s="36" t="s">
        <v>65</v>
      </c>
      <c r="F45" s="143"/>
      <c r="G45" s="144"/>
    </row>
    <row r="46" spans="3:8" ht="14.4" customHeight="1" x14ac:dyDescent="0.3">
      <c r="E46" s="142"/>
      <c r="F46" s="142"/>
      <c r="G46" s="142"/>
      <c r="H46" s="142"/>
    </row>
    <row r="47" spans="3:8" ht="14.4" customHeight="1" x14ac:dyDescent="0.3">
      <c r="E47" s="144"/>
      <c r="F47" s="144"/>
      <c r="G47" s="144"/>
      <c r="H47" s="144"/>
    </row>
    <row r="48" spans="3:8" ht="14.4" customHeight="1" x14ac:dyDescent="0.3">
      <c r="E48" s="144"/>
      <c r="F48" s="144"/>
      <c r="G48" s="144"/>
      <c r="H48" s="144"/>
    </row>
    <row r="49" spans="5:8" ht="14.4" customHeight="1" x14ac:dyDescent="0.3">
      <c r="E49" s="144"/>
      <c r="F49" s="144"/>
      <c r="G49" s="144"/>
      <c r="H49" s="144"/>
    </row>
    <row r="50" spans="5:8" ht="14.4" customHeight="1" x14ac:dyDescent="0.3">
      <c r="E50" s="144"/>
      <c r="F50" s="144"/>
      <c r="G50" s="144"/>
      <c r="H50" s="144"/>
    </row>
    <row r="51" spans="5:8" ht="14.4" customHeight="1" x14ac:dyDescent="0.3">
      <c r="E51" s="144"/>
      <c r="F51" s="144"/>
      <c r="G51" s="144"/>
      <c r="H51" s="144"/>
    </row>
    <row r="52" spans="5:8" ht="14.4" customHeight="1" x14ac:dyDescent="0.3">
      <c r="E52" s="144"/>
      <c r="F52" s="144"/>
      <c r="G52" s="144"/>
      <c r="H52" s="144"/>
    </row>
    <row r="53" spans="5:8" ht="14.4" customHeight="1" x14ac:dyDescent="0.3">
      <c r="E53" s="144"/>
      <c r="F53" s="144"/>
      <c r="G53" s="144"/>
      <c r="H53" s="144"/>
    </row>
    <row r="54" spans="5:8" ht="14.4" customHeight="1" x14ac:dyDescent="0.3">
      <c r="E54" s="144"/>
      <c r="F54" s="144"/>
      <c r="G54" s="144"/>
      <c r="H54" s="144"/>
    </row>
    <row r="55" spans="5:8" ht="14.4" customHeight="1" x14ac:dyDescent="0.3">
      <c r="E55" s="144"/>
      <c r="F55" s="144"/>
      <c r="G55" s="144"/>
      <c r="H55" s="144"/>
    </row>
    <row r="56" spans="5:8" ht="14.4" customHeight="1" x14ac:dyDescent="0.3">
      <c r="E56" s="144"/>
      <c r="F56" s="144"/>
      <c r="G56" s="144"/>
      <c r="H56" s="144"/>
    </row>
    <row r="57" spans="5:8" ht="14.4" customHeight="1" x14ac:dyDescent="0.3">
      <c r="E57" s="144"/>
      <c r="F57" s="144"/>
      <c r="G57" s="144"/>
      <c r="H57" s="144"/>
    </row>
    <row r="58" spans="5:8" ht="14.4" customHeight="1" x14ac:dyDescent="0.3">
      <c r="E58" s="144"/>
      <c r="F58" s="144"/>
      <c r="G58" s="144"/>
      <c r="H58" s="144"/>
    </row>
    <row r="59" spans="5:8" ht="14.4" customHeight="1" x14ac:dyDescent="0.3">
      <c r="E59" s="144"/>
      <c r="F59" s="144"/>
      <c r="G59" s="144"/>
      <c r="H59" s="144"/>
    </row>
    <row r="60" spans="5:8" ht="14.4" customHeight="1" x14ac:dyDescent="0.3">
      <c r="E60" s="144"/>
      <c r="F60" s="144"/>
      <c r="G60" s="144"/>
      <c r="H60" s="144"/>
    </row>
    <row r="61" spans="5:8" ht="14.4" customHeight="1" x14ac:dyDescent="0.3">
      <c r="E61" s="144"/>
      <c r="F61" s="144"/>
      <c r="G61" s="144"/>
      <c r="H61" s="144"/>
    </row>
    <row r="62" spans="5:8" ht="14.4" customHeight="1" x14ac:dyDescent="0.3">
      <c r="E62" s="144"/>
      <c r="F62" s="144"/>
      <c r="G62" s="144"/>
      <c r="H62" s="144"/>
    </row>
    <row r="63" spans="5:8" ht="14.4" customHeight="1" x14ac:dyDescent="0.3">
      <c r="E63" s="144"/>
      <c r="F63" s="144"/>
      <c r="G63" s="144"/>
      <c r="H63" s="144"/>
    </row>
    <row r="64" spans="5:8" ht="14.4" customHeight="1" x14ac:dyDescent="0.3">
      <c r="E64" s="144"/>
      <c r="F64" s="144"/>
      <c r="G64" s="144"/>
      <c r="H64" s="144"/>
    </row>
    <row r="65" spans="5:8" ht="14.4" customHeight="1" x14ac:dyDescent="0.3">
      <c r="E65" s="144"/>
      <c r="F65" s="144"/>
      <c r="G65" s="144"/>
      <c r="H65" s="144"/>
    </row>
    <row r="66" spans="5:8" ht="14.4" customHeight="1" x14ac:dyDescent="0.3">
      <c r="E66" s="144"/>
      <c r="F66" s="144"/>
      <c r="G66" s="144"/>
      <c r="H66" s="144"/>
    </row>
    <row r="67" spans="5:8" ht="14.4" customHeight="1" x14ac:dyDescent="0.3">
      <c r="E67" s="144"/>
      <c r="F67" s="144"/>
      <c r="G67" s="144"/>
      <c r="H67" s="144"/>
    </row>
    <row r="68" spans="5:8" ht="14.4" customHeight="1" x14ac:dyDescent="0.3">
      <c r="E68" s="144"/>
      <c r="F68" s="144"/>
      <c r="G68" s="144"/>
      <c r="H68" s="144"/>
    </row>
    <row r="69" spans="5:8" ht="14.4" customHeight="1" x14ac:dyDescent="0.3">
      <c r="E69" s="144"/>
      <c r="F69" s="144"/>
      <c r="G69" s="144"/>
      <c r="H69" s="144"/>
    </row>
    <row r="70" spans="5:8" ht="14.4" customHeight="1" x14ac:dyDescent="0.3">
      <c r="E70" s="144"/>
      <c r="F70" s="144"/>
      <c r="G70" s="144"/>
      <c r="H70" s="144"/>
    </row>
    <row r="71" spans="5:8" ht="14.4" customHeight="1" x14ac:dyDescent="0.3">
      <c r="E71" s="144"/>
      <c r="F71" s="144"/>
      <c r="G71" s="144"/>
      <c r="H71" s="144"/>
    </row>
    <row r="72" spans="5:8" ht="14.4" customHeight="1" x14ac:dyDescent="0.3">
      <c r="E72" s="144"/>
      <c r="F72" s="144"/>
      <c r="G72" s="144"/>
      <c r="H72" s="144"/>
    </row>
    <row r="73" spans="5:8" ht="14.4" customHeight="1" x14ac:dyDescent="0.3">
      <c r="E73" s="144"/>
      <c r="F73" s="144"/>
      <c r="G73" s="144"/>
      <c r="H73" s="144"/>
    </row>
    <row r="74" spans="5:8" ht="14.4" customHeight="1" x14ac:dyDescent="0.3">
      <c r="E74" s="144"/>
      <c r="F74" s="144"/>
      <c r="G74" s="144"/>
      <c r="H74" s="144"/>
    </row>
    <row r="75" spans="5:8" ht="14.4" customHeight="1" x14ac:dyDescent="0.3">
      <c r="E75" s="144"/>
      <c r="F75" s="144"/>
      <c r="G75" s="144"/>
      <c r="H75" s="144"/>
    </row>
    <row r="76" spans="5:8" ht="14.4" customHeight="1" x14ac:dyDescent="0.3">
      <c r="E76" s="144"/>
      <c r="F76" s="144"/>
      <c r="G76" s="144"/>
      <c r="H76" s="144"/>
    </row>
    <row r="77" spans="5:8" ht="14.4" customHeight="1" x14ac:dyDescent="0.3">
      <c r="E77" s="144"/>
      <c r="F77" s="144"/>
      <c r="G77" s="144"/>
      <c r="H77" s="144"/>
    </row>
    <row r="78" spans="5:8" ht="14.4" customHeight="1" x14ac:dyDescent="0.3">
      <c r="E78" s="144"/>
      <c r="F78" s="144"/>
      <c r="G78" s="144"/>
      <c r="H78" s="144"/>
    </row>
    <row r="79" spans="5:8" ht="14.4" customHeight="1" x14ac:dyDescent="0.3">
      <c r="E79" s="144"/>
      <c r="F79" s="144"/>
      <c r="G79" s="144"/>
      <c r="H79" s="144"/>
    </row>
    <row r="80" spans="5:8" ht="14.4" customHeight="1" x14ac:dyDescent="0.3">
      <c r="E80" s="144"/>
      <c r="F80" s="144"/>
      <c r="G80" s="144"/>
      <c r="H80" s="144"/>
    </row>
    <row r="81" spans="5:8" ht="14.4" customHeight="1" x14ac:dyDescent="0.3">
      <c r="E81" s="144"/>
      <c r="F81" s="144"/>
      <c r="G81" s="144"/>
      <c r="H81" s="144"/>
    </row>
    <row r="82" spans="5:8" ht="14.4" customHeight="1" x14ac:dyDescent="0.3">
      <c r="E82" s="144"/>
      <c r="F82" s="144"/>
      <c r="G82" s="144"/>
      <c r="H82" s="144"/>
    </row>
    <row r="83" spans="5:8" ht="14.4" customHeight="1" x14ac:dyDescent="0.3">
      <c r="E83" s="144"/>
      <c r="F83" s="144"/>
      <c r="G83" s="144"/>
      <c r="H83" s="144"/>
    </row>
    <row r="84" spans="5:8" ht="14.4" customHeight="1" x14ac:dyDescent="0.3">
      <c r="E84" s="144"/>
      <c r="F84" s="144"/>
      <c r="G84" s="144"/>
      <c r="H84" s="144"/>
    </row>
    <row r="85" spans="5:8" ht="14.4" customHeight="1" x14ac:dyDescent="0.3">
      <c r="E85" s="144"/>
      <c r="F85" s="144"/>
      <c r="G85" s="144"/>
      <c r="H85" s="144"/>
    </row>
    <row r="86" spans="5:8" ht="14.4" customHeight="1" x14ac:dyDescent="0.3">
      <c r="E86" s="144"/>
      <c r="F86" s="144"/>
      <c r="G86" s="144"/>
      <c r="H86" s="144"/>
    </row>
    <row r="87" spans="5:8" ht="14.4" customHeight="1" x14ac:dyDescent="0.3">
      <c r="E87" s="144"/>
      <c r="F87" s="144"/>
      <c r="G87" s="144"/>
      <c r="H87" s="144"/>
    </row>
    <row r="88" spans="5:8" ht="14.4" customHeight="1" x14ac:dyDescent="0.3">
      <c r="E88" s="144"/>
      <c r="F88" s="144"/>
      <c r="G88" s="144"/>
      <c r="H88" s="144"/>
    </row>
    <row r="89" spans="5:8" ht="14.4" customHeight="1" x14ac:dyDescent="0.3">
      <c r="E89" s="144"/>
      <c r="F89" s="144"/>
      <c r="G89" s="144"/>
      <c r="H89" s="144"/>
    </row>
    <row r="90" spans="5:8" ht="14.4" customHeight="1" x14ac:dyDescent="0.3">
      <c r="E90" s="144"/>
      <c r="F90" s="144"/>
      <c r="G90" s="144"/>
      <c r="H90" s="144"/>
    </row>
    <row r="91" spans="5:8" ht="14.4" customHeight="1" x14ac:dyDescent="0.3">
      <c r="E91" s="144"/>
      <c r="F91" s="144"/>
      <c r="G91" s="144"/>
      <c r="H91" s="144"/>
    </row>
    <row r="92" spans="5:8" ht="14.4" customHeight="1" x14ac:dyDescent="0.3">
      <c r="E92" s="144"/>
      <c r="F92" s="144"/>
      <c r="G92" s="144"/>
      <c r="H92" s="144"/>
    </row>
    <row r="93" spans="5:8" ht="14.4" customHeight="1" x14ac:dyDescent="0.3">
      <c r="E93" s="144"/>
      <c r="F93" s="144"/>
      <c r="G93" s="144"/>
      <c r="H93" s="144"/>
    </row>
    <row r="94" spans="5:8" ht="14.4" customHeight="1" x14ac:dyDescent="0.3">
      <c r="E94" s="144"/>
      <c r="F94" s="144"/>
      <c r="G94" s="144"/>
      <c r="H94" s="144"/>
    </row>
    <row r="95" spans="5:8" ht="14.4" customHeight="1" x14ac:dyDescent="0.3">
      <c r="E95" s="144"/>
      <c r="F95" s="144"/>
      <c r="G95" s="144"/>
      <c r="H95" s="144"/>
    </row>
    <row r="96" spans="5:8" ht="14.4" customHeight="1" x14ac:dyDescent="0.3">
      <c r="E96" s="144"/>
      <c r="F96" s="144"/>
      <c r="G96" s="144"/>
      <c r="H96" s="144"/>
    </row>
    <row r="97" spans="5:8" ht="14.4" customHeight="1" x14ac:dyDescent="0.3">
      <c r="E97" s="144"/>
      <c r="F97" s="144"/>
      <c r="G97" s="144"/>
      <c r="H97" s="144"/>
    </row>
    <row r="98" spans="5:8" ht="14.4" customHeight="1" x14ac:dyDescent="0.3">
      <c r="E98" s="144"/>
      <c r="F98" s="144"/>
      <c r="G98" s="144"/>
      <c r="H98" s="144"/>
    </row>
    <row r="99" spans="5:8" ht="14.4" customHeight="1" x14ac:dyDescent="0.3">
      <c r="E99" s="144"/>
      <c r="F99" s="144"/>
      <c r="G99" s="144"/>
      <c r="H99" s="144"/>
    </row>
    <row r="100" spans="5:8" ht="14.4" customHeight="1" x14ac:dyDescent="0.3">
      <c r="E100" s="144"/>
      <c r="F100" s="144"/>
      <c r="G100" s="144"/>
      <c r="H100" s="144"/>
    </row>
    <row r="101" spans="5:8" ht="14.4" customHeight="1" x14ac:dyDescent="0.3">
      <c r="E101" s="144"/>
      <c r="F101" s="144"/>
      <c r="G101" s="144"/>
      <c r="H101" s="144"/>
    </row>
    <row r="102" spans="5:8" ht="14.4" customHeight="1" x14ac:dyDescent="0.3">
      <c r="E102" s="144"/>
      <c r="F102" s="144"/>
      <c r="G102" s="144"/>
      <c r="H102" s="144"/>
    </row>
  </sheetData>
  <mergeCells count="4">
    <mergeCell ref="F44:G45"/>
    <mergeCell ref="E46:H102"/>
    <mergeCell ref="B2:H8"/>
    <mergeCell ref="B1:H1"/>
  </mergeCells>
  <dataValidations count="2">
    <dataValidation type="list" allowBlank="1" showInputMessage="1" showErrorMessage="1" sqref="H10:H43" xr:uid="{00000000-0002-0000-0300-000000000000}">
      <formula1>"Espèce,Chèque"</formula1>
    </dataValidation>
    <dataValidation type="list" allowBlank="1" showInputMessage="1" showErrorMessage="1" sqref="D10:D43" xr:uid="{00000000-0002-0000-0300-000001000000}">
      <formula1>"⛽ CARBURANT,🛠️ ENTRETIEN,🛣️ FRAIS DE ROUTE,🔧EPARATION,💰 SALAIRE,⚙️ AUTRES"</formula1>
    </dataValidation>
  </dataValidations>
  <hyperlinks>
    <hyperlink ref="A2" location="'ACCUEIL'!A1" display="🏠 ACCUEIL" xr:uid="{00000000-0004-0000-0300-000000000000}"/>
    <hyperlink ref="A4" location="'DASHBOARD'!A1" display="📊 DASHBOARD" xr:uid="{00000000-0004-0000-0300-000001000000}"/>
    <hyperlink ref="A5" location="'SUPER-COMPARATIF'!A1" display="🏆 COMPARATIF" xr:uid="{00000000-0004-0000-0300-000002000000}"/>
    <hyperlink ref="A6" location="'CAMION 1'!A1" display="🚚 CAMION 1" xr:uid="{00000000-0004-0000-0300-000003000000}"/>
    <hyperlink ref="A7" location="'CAMION 2'!A1" display="🚚 CAMION 2" xr:uid="{00000000-0004-0000-0300-000004000000}"/>
    <hyperlink ref="A8" location="'CAMION 3'!A1" display="🚚 CAMION 3" xr:uid="{00000000-0004-0000-0300-000005000000}"/>
    <hyperlink ref="A9" location="'CAMION 4'!A1" display="🚚 CAMION 4" xr:uid="{00000000-0004-0000-0300-000006000000}"/>
    <hyperlink ref="A10" location="'CAMION 5'!A1" display="🚚 CAMION 5" xr:uid="{00000000-0004-0000-0300-000007000000}"/>
    <hyperlink ref="A11" location="'CAMION 5'!A1" display="  🚚 CAMION 5" xr:uid="{00000000-0004-0000-03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AECE-79ED-4EA7-56DE-91323C11B3A1}">
  <sheetPr codeName="Feuil5">
    <tabColor rgb="FF7030A0"/>
  </sheetPr>
  <dimension ref="A1:H107"/>
  <sheetViews>
    <sheetView showGridLines="0" tabSelected="1" topLeftCell="A10" workbookViewId="0">
      <selection activeCell="C31" sqref="C31"/>
    </sheetView>
  </sheetViews>
  <sheetFormatPr baseColWidth="10" defaultColWidth="8.88671875" defaultRowHeight="14.4" customHeight="1" x14ac:dyDescent="0.3"/>
  <cols>
    <col min="1" max="1" width="25.6640625" style="11" customWidth="1"/>
    <col min="2" max="2" width="2.6640625" style="10" customWidth="1"/>
    <col min="3" max="3" width="14.6640625" style="37" customWidth="1"/>
    <col min="4" max="4" width="24.109375" customWidth="1"/>
    <col min="5" max="5" width="30.6640625" customWidth="1"/>
    <col min="6" max="6" width="18.88671875" style="38" customWidth="1"/>
    <col min="7" max="7" width="22.109375" style="38" customWidth="1"/>
    <col min="8" max="8" width="18.109375" customWidth="1"/>
  </cols>
  <sheetData>
    <row r="1" spans="1:8" ht="28.5" customHeight="1" x14ac:dyDescent="0.3">
      <c r="B1" s="146" t="s">
        <v>71</v>
      </c>
      <c r="C1" s="147"/>
      <c r="D1" s="147"/>
      <c r="E1" s="147"/>
      <c r="F1" s="147"/>
      <c r="G1" s="147"/>
      <c r="H1" s="148"/>
    </row>
    <row r="2" spans="1:8" ht="21.75" customHeight="1" x14ac:dyDescent="0.3">
      <c r="A2" s="7" t="s">
        <v>9</v>
      </c>
      <c r="B2" s="149" t="s">
        <v>66</v>
      </c>
      <c r="C2" s="149"/>
      <c r="D2" s="149"/>
      <c r="E2" s="149"/>
      <c r="F2" s="149"/>
      <c r="G2" s="149"/>
      <c r="H2" s="149"/>
    </row>
    <row r="3" spans="1:8" ht="21.75" customHeight="1" x14ac:dyDescent="0.3">
      <c r="B3" s="145"/>
      <c r="C3" s="145"/>
      <c r="D3" s="145"/>
      <c r="E3" s="145"/>
      <c r="F3" s="145"/>
      <c r="G3" s="145"/>
      <c r="H3" s="145"/>
    </row>
    <row r="4" spans="1:8" s="26" customFormat="1" ht="21.75" customHeight="1" x14ac:dyDescent="0.3">
      <c r="A4" s="27" t="s">
        <v>20</v>
      </c>
      <c r="B4" s="145"/>
      <c r="C4" s="145"/>
      <c r="D4" s="145"/>
      <c r="E4" s="145"/>
      <c r="F4" s="145"/>
      <c r="G4" s="145"/>
      <c r="H4" s="145"/>
    </row>
    <row r="5" spans="1:8" s="26" customFormat="1" ht="21.75" customHeight="1" x14ac:dyDescent="0.3">
      <c r="A5" s="27" t="s">
        <v>22</v>
      </c>
      <c r="B5" s="145"/>
      <c r="C5" s="145"/>
      <c r="D5" s="145"/>
      <c r="E5" s="145"/>
      <c r="F5" s="145"/>
      <c r="G5" s="145"/>
      <c r="H5" s="145"/>
    </row>
    <row r="6" spans="1:8" s="26" customFormat="1" ht="21.75" customHeight="1" x14ac:dyDescent="0.3">
      <c r="A6" s="27" t="s">
        <v>19</v>
      </c>
      <c r="B6" s="145"/>
      <c r="C6" s="145"/>
      <c r="D6" s="145"/>
      <c r="E6" s="145"/>
      <c r="F6" s="145"/>
      <c r="G6" s="145"/>
      <c r="H6" s="145"/>
    </row>
    <row r="7" spans="1:8" s="26" customFormat="1" ht="21.75" customHeight="1" x14ac:dyDescent="0.3">
      <c r="A7" s="27" t="s">
        <v>21</v>
      </c>
      <c r="B7" s="145"/>
      <c r="C7" s="145"/>
      <c r="D7" s="145"/>
      <c r="E7" s="145"/>
      <c r="F7" s="145"/>
      <c r="G7" s="145"/>
      <c r="H7" s="145"/>
    </row>
    <row r="8" spans="1:8" s="26" customFormat="1" ht="21.75" customHeight="1" x14ac:dyDescent="0.3">
      <c r="A8" s="27" t="s">
        <v>23</v>
      </c>
      <c r="B8" s="145"/>
      <c r="C8" s="145"/>
      <c r="D8" s="145"/>
      <c r="E8" s="145"/>
      <c r="F8" s="145"/>
      <c r="G8" s="145"/>
      <c r="H8" s="145"/>
    </row>
    <row r="9" spans="1:8" s="26" customFormat="1" ht="21.75" customHeight="1" x14ac:dyDescent="0.3">
      <c r="A9" s="27" t="s">
        <v>28</v>
      </c>
      <c r="B9" s="28"/>
      <c r="C9" s="39" t="s">
        <v>56</v>
      </c>
      <c r="D9" s="39" t="s">
        <v>57</v>
      </c>
      <c r="E9" s="39" t="s">
        <v>58</v>
      </c>
      <c r="F9" s="39" t="s">
        <v>49</v>
      </c>
      <c r="G9" s="39" t="s">
        <v>50</v>
      </c>
      <c r="H9" s="39" t="s">
        <v>59</v>
      </c>
    </row>
    <row r="10" spans="1:8" s="26" customFormat="1" ht="21.75" customHeight="1" x14ac:dyDescent="0.3">
      <c r="A10" s="27" t="s">
        <v>29</v>
      </c>
      <c r="B10" s="28"/>
      <c r="C10" s="30">
        <v>46077</v>
      </c>
      <c r="D10" s="31" t="s">
        <v>60</v>
      </c>
      <c r="E10" s="78" t="s">
        <v>76</v>
      </c>
      <c r="F10" s="32"/>
      <c r="G10" s="32">
        <v>871000</v>
      </c>
      <c r="H10" s="31" t="s">
        <v>61</v>
      </c>
    </row>
    <row r="11" spans="1:8" ht="21.75" customHeight="1" x14ac:dyDescent="0.3">
      <c r="A11" s="9" t="s">
        <v>30</v>
      </c>
      <c r="C11" s="30">
        <v>46077</v>
      </c>
      <c r="D11" s="31" t="s">
        <v>62</v>
      </c>
      <c r="E11" s="78" t="s">
        <v>75</v>
      </c>
      <c r="F11" s="32"/>
      <c r="G11" s="32">
        <v>360000</v>
      </c>
      <c r="H11" s="31" t="s">
        <v>61</v>
      </c>
    </row>
    <row r="12" spans="1:8" ht="21.75" customHeight="1" x14ac:dyDescent="0.3">
      <c r="C12" s="30">
        <v>46077</v>
      </c>
      <c r="D12" s="31" t="s">
        <v>67</v>
      </c>
      <c r="E12" s="78" t="s">
        <v>81</v>
      </c>
      <c r="F12" s="32"/>
      <c r="G12" s="32">
        <v>390250</v>
      </c>
      <c r="H12" s="31" t="s">
        <v>61</v>
      </c>
    </row>
    <row r="13" spans="1:8" ht="21.75" customHeight="1" x14ac:dyDescent="0.3">
      <c r="C13" s="30">
        <v>46077</v>
      </c>
      <c r="D13" s="31" t="s">
        <v>60</v>
      </c>
      <c r="E13" s="78" t="s">
        <v>82</v>
      </c>
      <c r="F13" s="32"/>
      <c r="G13" s="32">
        <v>134000</v>
      </c>
      <c r="H13" s="31" t="s">
        <v>61</v>
      </c>
    </row>
    <row r="14" spans="1:8" ht="21.75" customHeight="1" x14ac:dyDescent="0.3">
      <c r="C14" s="30">
        <v>46077</v>
      </c>
      <c r="D14" s="31" t="s">
        <v>84</v>
      </c>
      <c r="E14" s="78" t="s">
        <v>83</v>
      </c>
      <c r="F14" s="32"/>
      <c r="G14" s="32">
        <v>10000</v>
      </c>
      <c r="H14" s="31" t="s">
        <v>61</v>
      </c>
    </row>
    <row r="15" spans="1:8" ht="21.75" customHeight="1" x14ac:dyDescent="0.3">
      <c r="C15" s="30">
        <v>46080</v>
      </c>
      <c r="D15" s="31" t="s">
        <v>84</v>
      </c>
      <c r="E15" s="31" t="s">
        <v>12</v>
      </c>
      <c r="F15" s="32">
        <v>3500000</v>
      </c>
      <c r="G15" s="32"/>
      <c r="H15" s="31" t="s">
        <v>61</v>
      </c>
    </row>
    <row r="16" spans="1:8" ht="21.75" customHeight="1" x14ac:dyDescent="0.3">
      <c r="C16" s="30">
        <v>46080</v>
      </c>
      <c r="D16" s="31" t="s">
        <v>60</v>
      </c>
      <c r="E16" s="31" t="s">
        <v>76</v>
      </c>
      <c r="F16" s="32"/>
      <c r="G16" s="32">
        <v>871000</v>
      </c>
      <c r="H16" s="31" t="s">
        <v>61</v>
      </c>
    </row>
    <row r="17" spans="3:8" ht="21.75" customHeight="1" x14ac:dyDescent="0.3">
      <c r="C17" s="30">
        <v>46080</v>
      </c>
      <c r="D17" s="31" t="s">
        <v>62</v>
      </c>
      <c r="E17" s="31" t="s">
        <v>75</v>
      </c>
      <c r="F17" s="32"/>
      <c r="G17" s="32">
        <v>360000</v>
      </c>
      <c r="H17" s="31" t="s">
        <v>61</v>
      </c>
    </row>
    <row r="18" spans="3:8" ht="21.75" customHeight="1" x14ac:dyDescent="0.3">
      <c r="C18" s="30">
        <v>46080</v>
      </c>
      <c r="D18" s="31" t="s">
        <v>86</v>
      </c>
      <c r="E18" s="31" t="s">
        <v>87</v>
      </c>
      <c r="F18" s="32"/>
      <c r="G18" s="32">
        <v>200000</v>
      </c>
      <c r="H18" s="31" t="s">
        <v>61</v>
      </c>
    </row>
    <row r="19" spans="3:8" ht="21.75" customHeight="1" x14ac:dyDescent="0.3">
      <c r="C19" s="30">
        <v>46080</v>
      </c>
      <c r="D19" s="31" t="s">
        <v>88</v>
      </c>
      <c r="E19" s="31" t="s">
        <v>89</v>
      </c>
      <c r="F19" s="32"/>
      <c r="G19" s="32">
        <v>50000</v>
      </c>
      <c r="H19" s="31" t="s">
        <v>61</v>
      </c>
    </row>
    <row r="20" spans="3:8" ht="21.75" customHeight="1" x14ac:dyDescent="0.3">
      <c r="C20" s="30">
        <v>46108</v>
      </c>
      <c r="D20" s="31" t="s">
        <v>86</v>
      </c>
      <c r="E20" s="31" t="s">
        <v>97</v>
      </c>
      <c r="F20" s="32"/>
      <c r="G20" s="32">
        <v>100000</v>
      </c>
      <c r="H20" s="31" t="s">
        <v>61</v>
      </c>
    </row>
    <row r="21" spans="3:8" ht="21.75" customHeight="1" x14ac:dyDescent="0.3">
      <c r="C21" s="30">
        <v>46108</v>
      </c>
      <c r="D21" s="31" t="s">
        <v>88</v>
      </c>
      <c r="E21" s="31" t="s">
        <v>98</v>
      </c>
      <c r="F21" s="32"/>
      <c r="G21" s="32">
        <v>50000</v>
      </c>
      <c r="H21" s="31" t="s">
        <v>61</v>
      </c>
    </row>
    <row r="22" spans="3:8" ht="21.75" customHeight="1" x14ac:dyDescent="0.3">
      <c r="C22" s="30">
        <v>46108</v>
      </c>
      <c r="D22" s="31" t="s">
        <v>86</v>
      </c>
      <c r="E22" s="31" t="s">
        <v>99</v>
      </c>
      <c r="F22" s="32"/>
      <c r="G22" s="32">
        <v>100000</v>
      </c>
      <c r="H22" s="31" t="s">
        <v>61</v>
      </c>
    </row>
    <row r="23" spans="3:8" ht="21.75" customHeight="1" x14ac:dyDescent="0.3">
      <c r="C23" s="30">
        <v>46108</v>
      </c>
      <c r="D23" s="31" t="s">
        <v>88</v>
      </c>
      <c r="E23" s="31" t="s">
        <v>100</v>
      </c>
      <c r="F23" s="32"/>
      <c r="G23" s="32">
        <v>50000</v>
      </c>
      <c r="H23" s="31" t="s">
        <v>61</v>
      </c>
    </row>
    <row r="24" spans="3:8" ht="21.75" customHeight="1" x14ac:dyDescent="0.3">
      <c r="C24" s="30">
        <v>46108</v>
      </c>
      <c r="D24" s="31" t="s">
        <v>67</v>
      </c>
      <c r="E24" s="31" t="s">
        <v>103</v>
      </c>
      <c r="F24" s="32"/>
      <c r="G24" s="32">
        <v>35000</v>
      </c>
      <c r="H24" s="31" t="s">
        <v>61</v>
      </c>
    </row>
    <row r="25" spans="3:8" ht="21.75" customHeight="1" x14ac:dyDescent="0.3">
      <c r="C25" s="30">
        <v>46108</v>
      </c>
      <c r="D25" s="31" t="s">
        <v>93</v>
      </c>
      <c r="E25" s="31" t="s">
        <v>104</v>
      </c>
      <c r="F25" s="32"/>
      <c r="G25" s="32">
        <v>130000</v>
      </c>
      <c r="H25" s="31" t="s">
        <v>61</v>
      </c>
    </row>
    <row r="26" spans="3:8" ht="21.75" customHeight="1" x14ac:dyDescent="0.3">
      <c r="C26" s="30">
        <v>46108</v>
      </c>
      <c r="D26" s="31" t="s">
        <v>93</v>
      </c>
      <c r="E26" s="31" t="s">
        <v>105</v>
      </c>
      <c r="F26" s="32"/>
      <c r="G26" s="32">
        <v>15000</v>
      </c>
      <c r="H26" s="31" t="s">
        <v>61</v>
      </c>
    </row>
    <row r="27" spans="3:8" ht="21.75" customHeight="1" x14ac:dyDescent="0.3">
      <c r="C27" s="30">
        <v>46108</v>
      </c>
      <c r="D27" s="31" t="s">
        <v>84</v>
      </c>
      <c r="E27" s="31" t="s">
        <v>106</v>
      </c>
      <c r="F27" s="32"/>
      <c r="G27" s="32">
        <v>290000</v>
      </c>
      <c r="H27" s="31" t="s">
        <v>61</v>
      </c>
    </row>
    <row r="28" spans="3:8" ht="21.75" customHeight="1" x14ac:dyDescent="0.3">
      <c r="C28" s="30">
        <v>46108</v>
      </c>
      <c r="D28" s="31" t="s">
        <v>93</v>
      </c>
      <c r="E28" s="31" t="s">
        <v>107</v>
      </c>
      <c r="F28" s="32"/>
      <c r="G28" s="32">
        <v>124000</v>
      </c>
      <c r="H28" s="31" t="s">
        <v>61</v>
      </c>
    </row>
    <row r="29" spans="3:8" ht="21.75" customHeight="1" x14ac:dyDescent="0.3">
      <c r="C29" s="30">
        <v>46108</v>
      </c>
      <c r="D29" s="31" t="s">
        <v>67</v>
      </c>
      <c r="E29" s="31" t="s">
        <v>109</v>
      </c>
      <c r="F29" s="32"/>
      <c r="G29" s="32">
        <v>360000</v>
      </c>
      <c r="H29" s="31" t="s">
        <v>61</v>
      </c>
    </row>
    <row r="30" spans="3:8" ht="21.75" customHeight="1" x14ac:dyDescent="0.3">
      <c r="C30" s="30">
        <v>46108</v>
      </c>
      <c r="D30" s="31" t="s">
        <v>67</v>
      </c>
      <c r="E30" s="31" t="s">
        <v>110</v>
      </c>
      <c r="F30" s="32"/>
      <c r="G30" s="32">
        <v>3000</v>
      </c>
      <c r="H30" s="31" t="s">
        <v>61</v>
      </c>
    </row>
    <row r="31" spans="3:8" ht="21.75" customHeight="1" x14ac:dyDescent="0.3">
      <c r="C31" s="30"/>
      <c r="D31" s="31"/>
      <c r="E31" s="31"/>
      <c r="F31" s="32"/>
      <c r="G31" s="32"/>
      <c r="H31" s="31"/>
    </row>
    <row r="32" spans="3:8" ht="21.75" customHeight="1" x14ac:dyDescent="0.3">
      <c r="C32" s="30"/>
      <c r="D32" s="31"/>
      <c r="E32" s="31"/>
      <c r="F32" s="32"/>
      <c r="G32" s="32"/>
      <c r="H32" s="31"/>
    </row>
    <row r="33" spans="2:8" ht="21.75" customHeight="1" x14ac:dyDescent="0.3">
      <c r="C33" s="30"/>
      <c r="D33" s="31"/>
      <c r="E33" s="31"/>
      <c r="F33" s="32"/>
      <c r="G33" s="32"/>
      <c r="H33" s="31"/>
    </row>
    <row r="34" spans="2:8" ht="21.75" customHeight="1" x14ac:dyDescent="0.3">
      <c r="C34" s="30"/>
      <c r="D34" s="31"/>
      <c r="E34" s="31"/>
      <c r="F34" s="32"/>
      <c r="G34" s="32"/>
      <c r="H34" s="31"/>
    </row>
    <row r="35" spans="2:8" ht="21.75" customHeight="1" x14ac:dyDescent="0.3">
      <c r="C35" s="30"/>
      <c r="D35" s="31"/>
      <c r="E35" s="31"/>
      <c r="F35" s="32"/>
      <c r="G35" s="32"/>
      <c r="H35" s="31"/>
    </row>
    <row r="36" spans="2:8" ht="21.75" customHeight="1" x14ac:dyDescent="0.3">
      <c r="C36" s="30"/>
      <c r="D36" s="31"/>
      <c r="E36" s="31"/>
      <c r="F36" s="32"/>
      <c r="G36" s="32"/>
      <c r="H36" s="31"/>
    </row>
    <row r="37" spans="2:8" ht="21.75" customHeight="1" x14ac:dyDescent="0.3">
      <c r="C37" s="30"/>
      <c r="D37" s="31"/>
      <c r="E37" s="31"/>
      <c r="F37" s="32"/>
      <c r="G37" s="32"/>
      <c r="H37" s="31"/>
    </row>
    <row r="38" spans="2:8" ht="21.75" customHeight="1" x14ac:dyDescent="0.3">
      <c r="C38" s="30"/>
      <c r="D38" s="31"/>
      <c r="E38" s="31"/>
      <c r="F38" s="32"/>
      <c r="G38" s="32"/>
      <c r="H38" s="31"/>
    </row>
    <row r="39" spans="2:8" ht="21.75" customHeight="1" x14ac:dyDescent="0.3">
      <c r="C39" s="30"/>
      <c r="D39" s="31"/>
      <c r="E39" s="31"/>
      <c r="F39" s="32"/>
      <c r="G39" s="32"/>
      <c r="H39" s="31"/>
    </row>
    <row r="40" spans="2:8" ht="21.75" customHeight="1" x14ac:dyDescent="0.3">
      <c r="C40" s="30"/>
      <c r="D40" s="31"/>
      <c r="E40" s="31"/>
      <c r="F40" s="32"/>
      <c r="G40" s="32"/>
      <c r="H40" s="31"/>
    </row>
    <row r="41" spans="2:8" ht="21.75" customHeight="1" x14ac:dyDescent="0.3">
      <c r="C41" s="30"/>
      <c r="D41" s="31"/>
      <c r="E41" s="31"/>
      <c r="F41" s="32"/>
      <c r="G41" s="32"/>
      <c r="H41" s="31"/>
    </row>
    <row r="42" spans="2:8" ht="21.75" customHeight="1" x14ac:dyDescent="0.3">
      <c r="C42" s="30"/>
      <c r="D42" s="31"/>
      <c r="E42" s="31"/>
      <c r="F42" s="32"/>
      <c r="G42" s="32"/>
      <c r="H42" s="31"/>
    </row>
    <row r="43" spans="2:8" ht="21.75" customHeight="1" x14ac:dyDescent="0.3">
      <c r="C43" s="30"/>
      <c r="D43" s="31"/>
      <c r="E43" s="31"/>
      <c r="F43" s="32"/>
      <c r="G43" s="32"/>
      <c r="H43" s="31"/>
    </row>
    <row r="44" spans="2:8" ht="21.75" customHeight="1" x14ac:dyDescent="0.3">
      <c r="C44" s="30"/>
      <c r="D44" s="31"/>
      <c r="E44" s="31"/>
      <c r="F44" s="32"/>
      <c r="G44" s="32"/>
      <c r="H44" s="31"/>
    </row>
    <row r="45" spans="2:8" ht="21" customHeight="1" x14ac:dyDescent="0.3">
      <c r="C45" s="40" t="s">
        <v>63</v>
      </c>
      <c r="D45" s="41">
        <f>SUM(F10:F44)</f>
        <v>3500000</v>
      </c>
      <c r="E45" s="41">
        <f>SUM(G10:G44)</f>
        <v>4503250</v>
      </c>
      <c r="F45" s="151"/>
      <c r="G45" s="152"/>
      <c r="H45" s="152"/>
    </row>
    <row r="46" spans="2:8" ht="14.4" customHeight="1" x14ac:dyDescent="0.3">
      <c r="B46" s="20"/>
      <c r="C46" s="20"/>
      <c r="D46" s="35" t="s">
        <v>64</v>
      </c>
      <c r="E46" s="35" t="s">
        <v>65</v>
      </c>
      <c r="F46" s="20"/>
      <c r="G46" s="20"/>
      <c r="H46" s="20"/>
    </row>
    <row r="47" spans="2:8" ht="14.4" customHeight="1" x14ac:dyDescent="0.3">
      <c r="B47" s="150"/>
      <c r="C47" s="150"/>
      <c r="D47" s="150"/>
      <c r="E47" s="150"/>
      <c r="F47" s="150"/>
      <c r="G47" s="150"/>
      <c r="H47" s="150"/>
    </row>
    <row r="48" spans="2:8" ht="14.4" customHeight="1" x14ac:dyDescent="0.3">
      <c r="B48" s="150"/>
      <c r="C48" s="150"/>
      <c r="D48" s="150"/>
      <c r="E48" s="150"/>
      <c r="F48" s="150"/>
      <c r="G48" s="150"/>
      <c r="H48" s="150"/>
    </row>
    <row r="49" spans="2:8" ht="14.4" customHeight="1" x14ac:dyDescent="0.3">
      <c r="B49" s="150"/>
      <c r="C49" s="150"/>
      <c r="D49" s="150"/>
      <c r="E49" s="150"/>
      <c r="F49" s="150"/>
      <c r="G49" s="150"/>
      <c r="H49" s="150"/>
    </row>
    <row r="50" spans="2:8" ht="14.4" customHeight="1" x14ac:dyDescent="0.3">
      <c r="B50" s="150"/>
      <c r="C50" s="150"/>
      <c r="D50" s="150"/>
      <c r="E50" s="150"/>
      <c r="F50" s="150"/>
      <c r="G50" s="150"/>
      <c r="H50" s="150"/>
    </row>
    <row r="51" spans="2:8" ht="14.4" customHeight="1" x14ac:dyDescent="0.3">
      <c r="B51" s="150"/>
      <c r="C51" s="150"/>
      <c r="D51" s="150"/>
      <c r="E51" s="150"/>
      <c r="F51" s="150"/>
      <c r="G51" s="150"/>
      <c r="H51" s="150"/>
    </row>
    <row r="52" spans="2:8" ht="14.4" customHeight="1" x14ac:dyDescent="0.3">
      <c r="B52" s="150"/>
      <c r="C52" s="150"/>
      <c r="D52" s="150"/>
      <c r="E52" s="150"/>
      <c r="F52" s="150"/>
      <c r="G52" s="150"/>
      <c r="H52" s="150"/>
    </row>
    <row r="53" spans="2:8" ht="14.4" customHeight="1" x14ac:dyDescent="0.3">
      <c r="B53" s="150"/>
      <c r="C53" s="150"/>
      <c r="D53" s="150"/>
      <c r="E53" s="150"/>
      <c r="F53" s="150"/>
      <c r="G53" s="150"/>
      <c r="H53" s="150"/>
    </row>
    <row r="54" spans="2:8" ht="14.4" customHeight="1" x14ac:dyDescent="0.3">
      <c r="B54" s="150"/>
      <c r="C54" s="150"/>
      <c r="D54" s="150"/>
      <c r="E54" s="150"/>
      <c r="F54" s="150"/>
      <c r="G54" s="150"/>
      <c r="H54" s="150"/>
    </row>
    <row r="55" spans="2:8" ht="14.4" customHeight="1" x14ac:dyDescent="0.3">
      <c r="B55" s="150"/>
      <c r="C55" s="150"/>
      <c r="D55" s="150"/>
      <c r="E55" s="150"/>
      <c r="F55" s="150"/>
      <c r="G55" s="150"/>
      <c r="H55" s="150"/>
    </row>
    <row r="56" spans="2:8" ht="14.4" customHeight="1" x14ac:dyDescent="0.3">
      <c r="B56" s="150"/>
      <c r="C56" s="150"/>
      <c r="D56" s="150"/>
      <c r="E56" s="150"/>
      <c r="F56" s="150"/>
      <c r="G56" s="150"/>
      <c r="H56" s="150"/>
    </row>
    <row r="57" spans="2:8" ht="14.4" customHeight="1" x14ac:dyDescent="0.3">
      <c r="B57" s="150"/>
      <c r="C57" s="150"/>
      <c r="D57" s="150"/>
      <c r="E57" s="150"/>
      <c r="F57" s="150"/>
      <c r="G57" s="150"/>
      <c r="H57" s="150"/>
    </row>
    <row r="58" spans="2:8" ht="14.4" customHeight="1" x14ac:dyDescent="0.3">
      <c r="B58" s="150"/>
      <c r="C58" s="150"/>
      <c r="D58" s="150"/>
      <c r="E58" s="150"/>
      <c r="F58" s="150"/>
      <c r="G58" s="150"/>
      <c r="H58" s="150"/>
    </row>
    <row r="59" spans="2:8" ht="14.4" customHeight="1" x14ac:dyDescent="0.3">
      <c r="B59" s="150"/>
      <c r="C59" s="150"/>
      <c r="D59" s="150"/>
      <c r="E59" s="150"/>
      <c r="F59" s="150"/>
      <c r="G59" s="150"/>
      <c r="H59" s="150"/>
    </row>
    <row r="60" spans="2:8" ht="14.4" customHeight="1" x14ac:dyDescent="0.3">
      <c r="B60" s="150"/>
      <c r="C60" s="150"/>
      <c r="D60" s="150"/>
      <c r="E60" s="150"/>
      <c r="F60" s="150"/>
      <c r="G60" s="150"/>
      <c r="H60" s="150"/>
    </row>
    <row r="61" spans="2:8" ht="14.4" customHeight="1" x14ac:dyDescent="0.3">
      <c r="B61" s="150"/>
      <c r="C61" s="150"/>
      <c r="D61" s="150"/>
      <c r="E61" s="150"/>
      <c r="F61" s="150"/>
      <c r="G61" s="150"/>
      <c r="H61" s="150"/>
    </row>
    <row r="62" spans="2:8" ht="14.4" customHeight="1" x14ac:dyDescent="0.3">
      <c r="B62" s="150"/>
      <c r="C62" s="150"/>
      <c r="D62" s="150"/>
      <c r="E62" s="150"/>
      <c r="F62" s="150"/>
      <c r="G62" s="150"/>
      <c r="H62" s="150"/>
    </row>
    <row r="63" spans="2:8" ht="14.4" customHeight="1" x14ac:dyDescent="0.3">
      <c r="B63" s="150"/>
      <c r="C63" s="150"/>
      <c r="D63" s="150"/>
      <c r="E63" s="150"/>
      <c r="F63" s="150"/>
      <c r="G63" s="150"/>
      <c r="H63" s="150"/>
    </row>
    <row r="64" spans="2:8" ht="14.4" customHeight="1" x14ac:dyDescent="0.3">
      <c r="B64" s="150"/>
      <c r="C64" s="150"/>
      <c r="D64" s="150"/>
      <c r="E64" s="150"/>
      <c r="F64" s="150"/>
      <c r="G64" s="150"/>
      <c r="H64" s="150"/>
    </row>
    <row r="65" spans="2:8" ht="14.4" customHeight="1" x14ac:dyDescent="0.3">
      <c r="B65" s="150"/>
      <c r="C65" s="150"/>
      <c r="D65" s="150"/>
      <c r="E65" s="150"/>
      <c r="F65" s="150"/>
      <c r="G65" s="150"/>
      <c r="H65" s="150"/>
    </row>
    <row r="66" spans="2:8" ht="14.4" customHeight="1" x14ac:dyDescent="0.3">
      <c r="B66" s="150"/>
      <c r="C66" s="150"/>
      <c r="D66" s="150"/>
      <c r="E66" s="150"/>
      <c r="F66" s="150"/>
      <c r="G66" s="150"/>
      <c r="H66" s="150"/>
    </row>
    <row r="67" spans="2:8" ht="14.4" customHeight="1" x14ac:dyDescent="0.3">
      <c r="B67" s="150"/>
      <c r="C67" s="150"/>
      <c r="D67" s="150"/>
      <c r="E67" s="150"/>
      <c r="F67" s="150"/>
      <c r="G67" s="150"/>
      <c r="H67" s="150"/>
    </row>
    <row r="68" spans="2:8" ht="14.4" customHeight="1" x14ac:dyDescent="0.3">
      <c r="B68" s="150"/>
      <c r="C68" s="150"/>
      <c r="D68" s="150"/>
      <c r="E68" s="150"/>
      <c r="F68" s="150"/>
      <c r="G68" s="150"/>
      <c r="H68" s="150"/>
    </row>
    <row r="69" spans="2:8" ht="14.4" customHeight="1" x14ac:dyDescent="0.3">
      <c r="B69" s="150"/>
      <c r="C69" s="150"/>
      <c r="D69" s="150"/>
      <c r="E69" s="150"/>
      <c r="F69" s="150"/>
      <c r="G69" s="150"/>
      <c r="H69" s="150"/>
    </row>
    <row r="70" spans="2:8" ht="14.4" customHeight="1" x14ac:dyDescent="0.3">
      <c r="B70" s="150"/>
      <c r="C70" s="150"/>
      <c r="D70" s="150"/>
      <c r="E70" s="150"/>
      <c r="F70" s="150"/>
      <c r="G70" s="150"/>
      <c r="H70" s="150"/>
    </row>
    <row r="71" spans="2:8" ht="14.4" customHeight="1" x14ac:dyDescent="0.3">
      <c r="B71" s="150"/>
      <c r="C71" s="150"/>
      <c r="D71" s="150"/>
      <c r="E71" s="150"/>
      <c r="F71" s="150"/>
      <c r="G71" s="150"/>
      <c r="H71" s="150"/>
    </row>
    <row r="72" spans="2:8" ht="14.4" customHeight="1" x14ac:dyDescent="0.3">
      <c r="B72" s="150"/>
      <c r="C72" s="150"/>
      <c r="D72" s="150"/>
      <c r="E72" s="150"/>
      <c r="F72" s="150"/>
      <c r="G72" s="150"/>
      <c r="H72" s="150"/>
    </row>
    <row r="73" spans="2:8" ht="14.4" customHeight="1" x14ac:dyDescent="0.3">
      <c r="B73" s="150"/>
      <c r="C73" s="150"/>
      <c r="D73" s="150"/>
      <c r="E73" s="150"/>
      <c r="F73" s="150"/>
      <c r="G73" s="150"/>
      <c r="H73" s="150"/>
    </row>
    <row r="74" spans="2:8" ht="14.4" customHeight="1" x14ac:dyDescent="0.3">
      <c r="B74" s="150"/>
      <c r="C74" s="150"/>
      <c r="D74" s="150"/>
      <c r="E74" s="150"/>
      <c r="F74" s="150"/>
      <c r="G74" s="150"/>
      <c r="H74" s="150"/>
    </row>
    <row r="75" spans="2:8" ht="14.4" customHeight="1" x14ac:dyDescent="0.3">
      <c r="B75" s="150"/>
      <c r="C75" s="150"/>
      <c r="D75" s="150"/>
      <c r="E75" s="150"/>
      <c r="F75" s="150"/>
      <c r="G75" s="150"/>
      <c r="H75" s="150"/>
    </row>
    <row r="76" spans="2:8" ht="14.4" customHeight="1" x14ac:dyDescent="0.3">
      <c r="B76" s="150"/>
      <c r="C76" s="150"/>
      <c r="D76" s="150"/>
      <c r="E76" s="150"/>
      <c r="F76" s="150"/>
      <c r="G76" s="150"/>
      <c r="H76" s="150"/>
    </row>
    <row r="77" spans="2:8" ht="14.4" customHeight="1" x14ac:dyDescent="0.3">
      <c r="B77" s="150"/>
      <c r="C77" s="150"/>
      <c r="D77" s="150"/>
      <c r="E77" s="150"/>
      <c r="F77" s="150"/>
      <c r="G77" s="150"/>
      <c r="H77" s="150"/>
    </row>
    <row r="78" spans="2:8" ht="14.4" customHeight="1" x14ac:dyDescent="0.3">
      <c r="B78" s="150"/>
      <c r="C78" s="150"/>
      <c r="D78" s="150"/>
      <c r="E78" s="150"/>
      <c r="F78" s="150"/>
      <c r="G78" s="150"/>
      <c r="H78" s="150"/>
    </row>
    <row r="79" spans="2:8" ht="14.4" customHeight="1" x14ac:dyDescent="0.3">
      <c r="B79" s="150"/>
      <c r="C79" s="150"/>
      <c r="D79" s="150"/>
      <c r="E79" s="150"/>
      <c r="F79" s="150"/>
      <c r="G79" s="150"/>
      <c r="H79" s="150"/>
    </row>
    <row r="80" spans="2:8" ht="14.4" customHeight="1" x14ac:dyDescent="0.3">
      <c r="B80" s="150"/>
      <c r="C80" s="150"/>
      <c r="D80" s="150"/>
      <c r="E80" s="150"/>
      <c r="F80" s="150"/>
      <c r="G80" s="150"/>
      <c r="H80" s="150"/>
    </row>
    <row r="81" spans="2:8" ht="14.4" customHeight="1" x14ac:dyDescent="0.3">
      <c r="B81" s="150"/>
      <c r="C81" s="150"/>
      <c r="D81" s="150"/>
      <c r="E81" s="150"/>
      <c r="F81" s="150"/>
      <c r="G81" s="150"/>
      <c r="H81" s="150"/>
    </row>
    <row r="82" spans="2:8" ht="14.4" customHeight="1" x14ac:dyDescent="0.3">
      <c r="B82" s="150"/>
      <c r="C82" s="150"/>
      <c r="D82" s="150"/>
      <c r="E82" s="150"/>
      <c r="F82" s="150"/>
      <c r="G82" s="150"/>
      <c r="H82" s="150"/>
    </row>
    <row r="83" spans="2:8" ht="14.4" customHeight="1" x14ac:dyDescent="0.3">
      <c r="B83" s="150"/>
      <c r="C83" s="150"/>
      <c r="D83" s="150"/>
      <c r="E83" s="150"/>
      <c r="F83" s="150"/>
      <c r="G83" s="150"/>
      <c r="H83" s="150"/>
    </row>
    <row r="84" spans="2:8" ht="14.4" customHeight="1" x14ac:dyDescent="0.3">
      <c r="B84" s="150"/>
      <c r="C84" s="150"/>
      <c r="D84" s="150"/>
      <c r="E84" s="150"/>
      <c r="F84" s="150"/>
      <c r="G84" s="150"/>
      <c r="H84" s="150"/>
    </row>
    <row r="85" spans="2:8" ht="14.4" customHeight="1" x14ac:dyDescent="0.3">
      <c r="B85" s="150"/>
      <c r="C85" s="150"/>
      <c r="D85" s="150"/>
      <c r="E85" s="150"/>
      <c r="F85" s="150"/>
      <c r="G85" s="150"/>
      <c r="H85" s="150"/>
    </row>
    <row r="86" spans="2:8" ht="14.4" customHeight="1" x14ac:dyDescent="0.3">
      <c r="B86" s="150"/>
      <c r="C86" s="150"/>
      <c r="D86" s="150"/>
      <c r="E86" s="150"/>
      <c r="F86" s="150"/>
      <c r="G86" s="150"/>
      <c r="H86" s="150"/>
    </row>
    <row r="87" spans="2:8" ht="14.4" customHeight="1" x14ac:dyDescent="0.3">
      <c r="B87" s="150"/>
      <c r="C87" s="150"/>
      <c r="D87" s="150"/>
      <c r="E87" s="150"/>
      <c r="F87" s="150"/>
      <c r="G87" s="150"/>
      <c r="H87" s="150"/>
    </row>
    <row r="88" spans="2:8" ht="14.4" customHeight="1" x14ac:dyDescent="0.3">
      <c r="B88" s="150"/>
      <c r="C88" s="150"/>
      <c r="D88" s="150"/>
      <c r="E88" s="150"/>
      <c r="F88" s="150"/>
      <c r="G88" s="150"/>
      <c r="H88" s="150"/>
    </row>
    <row r="89" spans="2:8" ht="14.4" customHeight="1" x14ac:dyDescent="0.3">
      <c r="B89" s="150"/>
      <c r="C89" s="150"/>
      <c r="D89" s="150"/>
      <c r="E89" s="150"/>
      <c r="F89" s="150"/>
      <c r="G89" s="150"/>
      <c r="H89" s="150"/>
    </row>
    <row r="90" spans="2:8" ht="14.4" customHeight="1" x14ac:dyDescent="0.3">
      <c r="B90" s="150"/>
      <c r="C90" s="150"/>
      <c r="D90" s="150"/>
      <c r="E90" s="150"/>
      <c r="F90" s="150"/>
      <c r="G90" s="150"/>
      <c r="H90" s="150"/>
    </row>
    <row r="91" spans="2:8" ht="14.4" customHeight="1" x14ac:dyDescent="0.3">
      <c r="B91" s="150"/>
      <c r="C91" s="150"/>
      <c r="D91" s="150"/>
      <c r="E91" s="150"/>
      <c r="F91" s="150"/>
      <c r="G91" s="150"/>
      <c r="H91" s="150"/>
    </row>
    <row r="92" spans="2:8" ht="14.4" customHeight="1" x14ac:dyDescent="0.3">
      <c r="B92" s="150"/>
      <c r="C92" s="150"/>
      <c r="D92" s="150"/>
      <c r="E92" s="150"/>
      <c r="F92" s="150"/>
      <c r="G92" s="150"/>
      <c r="H92" s="150"/>
    </row>
    <row r="93" spans="2:8" ht="14.4" customHeight="1" x14ac:dyDescent="0.3">
      <c r="B93" s="150"/>
      <c r="C93" s="150"/>
      <c r="D93" s="150"/>
      <c r="E93" s="150"/>
      <c r="F93" s="150"/>
      <c r="G93" s="150"/>
      <c r="H93" s="150"/>
    </row>
    <row r="94" spans="2:8" ht="14.4" customHeight="1" x14ac:dyDescent="0.3">
      <c r="B94" s="150"/>
      <c r="C94" s="150"/>
      <c r="D94" s="150"/>
      <c r="E94" s="150"/>
      <c r="F94" s="150"/>
      <c r="G94" s="150"/>
      <c r="H94" s="150"/>
    </row>
    <row r="95" spans="2:8" ht="14.4" customHeight="1" x14ac:dyDescent="0.3">
      <c r="B95" s="150"/>
      <c r="C95" s="150"/>
      <c r="D95" s="150"/>
      <c r="E95" s="150"/>
      <c r="F95" s="150"/>
      <c r="G95" s="150"/>
      <c r="H95" s="150"/>
    </row>
    <row r="96" spans="2:8" ht="14.4" customHeight="1" x14ac:dyDescent="0.3">
      <c r="B96" s="150"/>
      <c r="C96" s="150"/>
      <c r="D96" s="150"/>
      <c r="E96" s="150"/>
      <c r="F96" s="150"/>
      <c r="G96" s="150"/>
      <c r="H96" s="150"/>
    </row>
    <row r="97" spans="2:8" ht="14.4" customHeight="1" x14ac:dyDescent="0.3">
      <c r="B97" s="150"/>
      <c r="C97" s="150"/>
      <c r="D97" s="150"/>
      <c r="E97" s="150"/>
      <c r="F97" s="150"/>
      <c r="G97" s="150"/>
      <c r="H97" s="150"/>
    </row>
    <row r="98" spans="2:8" ht="14.4" customHeight="1" x14ac:dyDescent="0.3">
      <c r="B98" s="150"/>
      <c r="C98" s="150"/>
      <c r="D98" s="150"/>
      <c r="E98" s="150"/>
      <c r="F98" s="150"/>
      <c r="G98" s="150"/>
      <c r="H98" s="150"/>
    </row>
    <row r="99" spans="2:8" ht="14.4" customHeight="1" x14ac:dyDescent="0.3">
      <c r="B99" s="150"/>
      <c r="C99" s="150"/>
      <c r="D99" s="150"/>
      <c r="E99" s="150"/>
      <c r="F99" s="150"/>
      <c r="G99" s="150"/>
      <c r="H99" s="150"/>
    </row>
    <row r="100" spans="2:8" ht="14.4" customHeight="1" x14ac:dyDescent="0.3">
      <c r="B100" s="150"/>
      <c r="C100" s="150"/>
      <c r="D100" s="150"/>
      <c r="E100" s="150"/>
      <c r="F100" s="150"/>
      <c r="G100" s="150"/>
      <c r="H100" s="150"/>
    </row>
    <row r="101" spans="2:8" ht="14.4" customHeight="1" x14ac:dyDescent="0.3">
      <c r="B101" s="150"/>
      <c r="C101" s="150"/>
      <c r="D101" s="150"/>
      <c r="E101" s="150"/>
      <c r="F101" s="150"/>
      <c r="G101" s="150"/>
      <c r="H101" s="150"/>
    </row>
    <row r="102" spans="2:8" ht="14.4" customHeight="1" x14ac:dyDescent="0.3">
      <c r="B102" s="150"/>
      <c r="C102" s="150"/>
      <c r="D102" s="150"/>
      <c r="E102" s="150"/>
      <c r="F102" s="150"/>
      <c r="G102" s="150"/>
      <c r="H102" s="150"/>
    </row>
    <row r="103" spans="2:8" ht="14.4" customHeight="1" x14ac:dyDescent="0.3">
      <c r="B103" s="150"/>
      <c r="C103" s="150"/>
      <c r="D103" s="150"/>
      <c r="E103" s="150"/>
      <c r="F103" s="150"/>
      <c r="G103" s="150"/>
      <c r="H103" s="150"/>
    </row>
    <row r="104" spans="2:8" ht="14.4" customHeight="1" x14ac:dyDescent="0.3">
      <c r="B104" s="150"/>
      <c r="C104" s="150"/>
      <c r="D104" s="150"/>
      <c r="E104" s="150"/>
      <c r="F104" s="150"/>
      <c r="G104" s="150"/>
      <c r="H104" s="150"/>
    </row>
    <row r="105" spans="2:8" ht="14.4" customHeight="1" x14ac:dyDescent="0.3">
      <c r="B105" s="150"/>
      <c r="C105" s="150"/>
      <c r="D105" s="150"/>
      <c r="E105" s="150"/>
      <c r="F105" s="150"/>
      <c r="G105" s="150"/>
      <c r="H105" s="150"/>
    </row>
    <row r="106" spans="2:8" ht="14.4" customHeight="1" x14ac:dyDescent="0.3">
      <c r="B106" s="150"/>
      <c r="C106" s="150"/>
      <c r="D106" s="150"/>
      <c r="E106" s="150"/>
      <c r="F106" s="150"/>
      <c r="G106" s="150"/>
      <c r="H106" s="150"/>
    </row>
    <row r="107" spans="2:8" ht="14.4" customHeight="1" x14ac:dyDescent="0.3">
      <c r="B107" s="150"/>
      <c r="C107" s="150"/>
      <c r="D107" s="150"/>
      <c r="E107" s="150"/>
      <c r="F107" s="150"/>
      <c r="G107" s="150"/>
      <c r="H107" s="150"/>
    </row>
  </sheetData>
  <mergeCells count="4">
    <mergeCell ref="B1:H1"/>
    <mergeCell ref="B2:H8"/>
    <mergeCell ref="B47:H107"/>
    <mergeCell ref="F45:H45"/>
  </mergeCells>
  <dataValidations count="2">
    <dataValidation type="list" allowBlank="1" showInputMessage="1" showErrorMessage="1" sqref="H10:H44" xr:uid="{00000000-0002-0000-0400-000000000000}">
      <formula1>"Espèce,Chèque"</formula1>
    </dataValidation>
    <dataValidation type="list" allowBlank="1" showInputMessage="1" showErrorMessage="1" sqref="D10:D44" xr:uid="{00000000-0002-0000-0400-000001000000}">
      <formula1>"⛽ CARBURANT,🛠️ ENTRETIEN,🔧 REPARATION,🛣️ FRAIS DE ROUTE,💰 SALAIRE,🏅 PRIME,⚙️ AUTRES"</formula1>
    </dataValidation>
  </dataValidations>
  <hyperlinks>
    <hyperlink ref="A2" location="'ACCUEIL'!A1" display="🏠 ACCUEIL" xr:uid="{00000000-0004-0000-0400-000000000000}"/>
    <hyperlink ref="A4" location="'DASHBOARD'!A1" display="📊 DASHBOARD" xr:uid="{00000000-0004-0000-0400-000001000000}"/>
    <hyperlink ref="A5" location="'SUPER-COMPARATIF'!A1" display="🏆 COMPARATIF" xr:uid="{00000000-0004-0000-0400-000002000000}"/>
    <hyperlink ref="A6" location="'CAMION 1'!A1" display="🚚 CAMION 1" xr:uid="{00000000-0004-0000-0400-000003000000}"/>
    <hyperlink ref="A7" location="'CAMION 2'!A1" display="🚚 CAMION 2" xr:uid="{00000000-0004-0000-0400-000004000000}"/>
    <hyperlink ref="A8" location="'CAMION 3'!A1" display="🚚 CAMION 3" xr:uid="{00000000-0004-0000-0400-000005000000}"/>
    <hyperlink ref="A9" location="'CAMION 4'!A1" display="🚚 CAMION 4" xr:uid="{00000000-0004-0000-0400-000006000000}"/>
    <hyperlink ref="A10" location="'CAMION 5'!A1" display="🚚 CAMION 5" xr:uid="{00000000-0004-0000-0400-000007000000}"/>
    <hyperlink ref="A11" location="'CAMION 5'!A1" display="  🚚 CAMION 5" xr:uid="{00000000-0004-0000-04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15B8-69B8-0E78-10D8-0611145CC6CC}">
  <sheetPr codeName="Feuil6">
    <tabColor rgb="FF0070C0"/>
  </sheetPr>
  <dimension ref="A1:H59"/>
  <sheetViews>
    <sheetView showGridLines="0" workbookViewId="0">
      <selection activeCell="E17" sqref="E17"/>
    </sheetView>
  </sheetViews>
  <sheetFormatPr baseColWidth="10" defaultColWidth="8.88671875" defaultRowHeight="14.4" customHeight="1" x14ac:dyDescent="0.3"/>
  <cols>
    <col min="1" max="1" width="25.6640625" style="11" customWidth="1"/>
    <col min="2" max="2" width="2.6640625" style="10" customWidth="1"/>
    <col min="3" max="3" width="16.33203125" style="37" customWidth="1"/>
    <col min="4" max="4" width="23.33203125" customWidth="1"/>
    <col min="5" max="5" width="31.6640625" customWidth="1"/>
    <col min="6" max="6" width="19.88671875" style="38" customWidth="1"/>
    <col min="7" max="7" width="20.5546875" style="38" customWidth="1"/>
    <col min="8" max="8" width="16.33203125" customWidth="1"/>
  </cols>
  <sheetData>
    <row r="1" spans="1:8" s="1" customFormat="1" ht="27.75" customHeight="1" x14ac:dyDescent="0.3">
      <c r="A1" s="42"/>
      <c r="B1" s="146" t="s">
        <v>23</v>
      </c>
      <c r="C1" s="147"/>
      <c r="D1" s="147"/>
      <c r="E1" s="147"/>
      <c r="F1" s="147"/>
      <c r="G1" s="147"/>
      <c r="H1" s="148"/>
    </row>
    <row r="2" spans="1:8" s="1" customFormat="1" ht="22.5" customHeight="1" x14ac:dyDescent="0.3">
      <c r="A2" s="7" t="s">
        <v>9</v>
      </c>
      <c r="B2" s="145" t="s">
        <v>68</v>
      </c>
      <c r="C2" s="145"/>
      <c r="D2" s="145"/>
      <c r="E2" s="145"/>
      <c r="F2" s="145"/>
      <c r="G2" s="145"/>
      <c r="H2" s="145"/>
    </row>
    <row r="3" spans="1:8" s="1" customFormat="1" ht="22.5" customHeight="1" x14ac:dyDescent="0.3">
      <c r="A3" s="42"/>
      <c r="B3" s="145"/>
      <c r="C3" s="145"/>
      <c r="D3" s="145"/>
      <c r="E3" s="145"/>
      <c r="F3" s="145"/>
      <c r="G3" s="145"/>
      <c r="H3" s="145"/>
    </row>
    <row r="4" spans="1:8" s="1" customFormat="1" ht="22.5" customHeight="1" x14ac:dyDescent="0.3">
      <c r="A4" s="27" t="s">
        <v>20</v>
      </c>
      <c r="B4" s="145"/>
      <c r="C4" s="145"/>
      <c r="D4" s="145"/>
      <c r="E4" s="145"/>
      <c r="F4" s="145"/>
      <c r="G4" s="145"/>
      <c r="H4" s="145"/>
    </row>
    <row r="5" spans="1:8" s="1" customFormat="1" ht="22.5" customHeight="1" x14ac:dyDescent="0.3">
      <c r="A5" s="27" t="s">
        <v>22</v>
      </c>
      <c r="B5" s="145"/>
      <c r="C5" s="145"/>
      <c r="D5" s="145"/>
      <c r="E5" s="145"/>
      <c r="F5" s="145"/>
      <c r="G5" s="145"/>
      <c r="H5" s="145"/>
    </row>
    <row r="6" spans="1:8" s="1" customFormat="1" ht="22.5" customHeight="1" x14ac:dyDescent="0.3">
      <c r="A6" s="27" t="s">
        <v>19</v>
      </c>
      <c r="B6" s="145"/>
      <c r="C6" s="145"/>
      <c r="D6" s="145"/>
      <c r="E6" s="145"/>
      <c r="F6" s="145"/>
      <c r="G6" s="145"/>
      <c r="H6" s="145"/>
    </row>
    <row r="7" spans="1:8" s="1" customFormat="1" ht="22.5" customHeight="1" x14ac:dyDescent="0.3">
      <c r="A7" s="27" t="s">
        <v>21</v>
      </c>
      <c r="B7" s="145"/>
      <c r="C7" s="145"/>
      <c r="D7" s="145"/>
      <c r="E7" s="145"/>
      <c r="F7" s="145"/>
      <c r="G7" s="145"/>
      <c r="H7" s="145"/>
    </row>
    <row r="8" spans="1:8" s="1" customFormat="1" ht="22.5" customHeight="1" x14ac:dyDescent="0.3">
      <c r="A8" s="27" t="s">
        <v>23</v>
      </c>
      <c r="B8" s="145"/>
      <c r="C8" s="145"/>
      <c r="D8" s="145"/>
      <c r="E8" s="145"/>
      <c r="F8" s="145"/>
      <c r="G8" s="145"/>
      <c r="H8" s="145"/>
    </row>
    <row r="9" spans="1:8" s="1" customFormat="1" ht="22.5" customHeight="1" x14ac:dyDescent="0.3">
      <c r="A9" s="27" t="s">
        <v>28</v>
      </c>
      <c r="B9" s="43"/>
      <c r="C9" s="29" t="s">
        <v>56</v>
      </c>
      <c r="D9" s="29" t="s">
        <v>57</v>
      </c>
      <c r="E9" s="29" t="s">
        <v>58</v>
      </c>
      <c r="F9" s="29" t="s">
        <v>49</v>
      </c>
      <c r="G9" s="29" t="s">
        <v>50</v>
      </c>
      <c r="H9" s="29" t="s">
        <v>59</v>
      </c>
    </row>
    <row r="10" spans="1:8" s="1" customFormat="1" ht="22.5" customHeight="1" x14ac:dyDescent="0.3">
      <c r="A10" s="27" t="s">
        <v>29</v>
      </c>
      <c r="B10" s="43"/>
      <c r="C10" s="30"/>
      <c r="D10" s="31"/>
      <c r="E10" s="31"/>
      <c r="F10" s="32"/>
      <c r="G10" s="32"/>
      <c r="H10" s="31"/>
    </row>
    <row r="11" spans="1:8" s="1" customFormat="1" ht="22.5" customHeight="1" x14ac:dyDescent="0.3">
      <c r="A11" s="44" t="s">
        <v>30</v>
      </c>
      <c r="B11" s="43"/>
      <c r="C11" s="30"/>
      <c r="D11" s="31"/>
      <c r="E11" s="31"/>
      <c r="F11" s="32"/>
      <c r="G11" s="32"/>
      <c r="H11" s="31"/>
    </row>
    <row r="12" spans="1:8" s="1" customFormat="1" ht="22.5" customHeight="1" x14ac:dyDescent="0.3">
      <c r="A12" s="42"/>
      <c r="B12" s="43"/>
      <c r="C12" s="30"/>
      <c r="D12" s="31"/>
      <c r="E12" s="31"/>
      <c r="F12" s="32"/>
      <c r="G12" s="32"/>
      <c r="H12" s="31"/>
    </row>
    <row r="13" spans="1:8" s="1" customFormat="1" ht="22.5" customHeight="1" x14ac:dyDescent="0.3">
      <c r="A13" s="42"/>
      <c r="B13" s="43"/>
      <c r="C13" s="30"/>
      <c r="D13" s="31"/>
      <c r="E13" s="31"/>
      <c r="F13" s="32"/>
      <c r="G13" s="32"/>
      <c r="H13" s="31"/>
    </row>
    <row r="14" spans="1:8" s="1" customFormat="1" ht="22.5" customHeight="1" x14ac:dyDescent="0.3">
      <c r="A14" s="42"/>
      <c r="B14" s="43"/>
      <c r="C14" s="30"/>
      <c r="D14" s="31"/>
      <c r="E14" s="31"/>
      <c r="F14" s="32"/>
      <c r="G14" s="32"/>
      <c r="H14" s="31"/>
    </row>
    <row r="15" spans="1:8" s="1" customFormat="1" ht="22.5" customHeight="1" x14ac:dyDescent="0.3">
      <c r="A15" s="42"/>
      <c r="B15" s="43"/>
      <c r="C15" s="30"/>
      <c r="D15" s="31"/>
      <c r="E15" s="31"/>
      <c r="F15" s="32"/>
      <c r="G15" s="32"/>
      <c r="H15" s="31"/>
    </row>
    <row r="16" spans="1:8" s="1" customFormat="1" ht="22.5" customHeight="1" x14ac:dyDescent="0.3">
      <c r="A16" s="42"/>
      <c r="B16" s="43"/>
      <c r="C16" s="30"/>
      <c r="D16" s="31"/>
      <c r="E16" s="31"/>
      <c r="F16" s="32"/>
      <c r="G16" s="32"/>
      <c r="H16" s="31"/>
    </row>
    <row r="17" spans="1:8" s="1" customFormat="1" ht="22.5" customHeight="1" x14ac:dyDescent="0.3">
      <c r="A17" s="42"/>
      <c r="B17" s="43"/>
      <c r="C17" s="30"/>
      <c r="D17" s="31"/>
      <c r="E17" s="31"/>
      <c r="F17" s="32"/>
      <c r="G17" s="32"/>
      <c r="H17" s="31"/>
    </row>
    <row r="18" spans="1:8" s="1" customFormat="1" ht="22.5" customHeight="1" x14ac:dyDescent="0.3">
      <c r="A18" s="42"/>
      <c r="B18" s="43"/>
      <c r="C18" s="30"/>
      <c r="D18" s="31"/>
      <c r="E18" s="31"/>
      <c r="F18" s="32"/>
      <c r="G18" s="32"/>
      <c r="H18" s="31"/>
    </row>
    <row r="19" spans="1:8" s="1" customFormat="1" ht="22.5" customHeight="1" x14ac:dyDescent="0.3">
      <c r="A19" s="42"/>
      <c r="B19" s="43"/>
      <c r="C19" s="30"/>
      <c r="D19" s="31"/>
      <c r="E19" s="31"/>
      <c r="F19" s="32"/>
      <c r="G19" s="32"/>
      <c r="H19" s="31"/>
    </row>
    <row r="20" spans="1:8" s="1" customFormat="1" ht="22.5" customHeight="1" x14ac:dyDescent="0.3">
      <c r="A20" s="42"/>
      <c r="B20" s="43"/>
      <c r="C20" s="30"/>
      <c r="D20" s="31"/>
      <c r="E20" s="31"/>
      <c r="F20" s="32"/>
      <c r="G20" s="32"/>
      <c r="H20" s="31"/>
    </row>
    <row r="21" spans="1:8" s="1" customFormat="1" ht="22.5" customHeight="1" x14ac:dyDescent="0.3">
      <c r="A21" s="42"/>
      <c r="B21" s="43"/>
      <c r="C21" s="30"/>
      <c r="D21" s="31"/>
      <c r="E21" s="31"/>
      <c r="F21" s="32"/>
      <c r="G21" s="32"/>
      <c r="H21" s="31"/>
    </row>
    <row r="22" spans="1:8" s="1" customFormat="1" ht="22.5" customHeight="1" x14ac:dyDescent="0.3">
      <c r="A22" s="42"/>
      <c r="B22" s="43"/>
      <c r="C22" s="30"/>
      <c r="D22" s="31"/>
      <c r="E22" s="31"/>
      <c r="F22" s="32"/>
      <c r="G22" s="32"/>
      <c r="H22" s="31"/>
    </row>
    <row r="23" spans="1:8" s="1" customFormat="1" ht="22.5" customHeight="1" x14ac:dyDescent="0.3">
      <c r="A23" s="42"/>
      <c r="B23" s="43"/>
      <c r="C23" s="30"/>
      <c r="D23" s="31"/>
      <c r="E23" s="31"/>
      <c r="F23" s="32"/>
      <c r="G23" s="32"/>
      <c r="H23" s="31"/>
    </row>
    <row r="24" spans="1:8" s="1" customFormat="1" ht="22.5" customHeight="1" x14ac:dyDescent="0.3">
      <c r="A24" s="42"/>
      <c r="B24" s="43"/>
      <c r="C24" s="30"/>
      <c r="D24" s="31"/>
      <c r="E24" s="31"/>
      <c r="F24" s="32"/>
      <c r="G24" s="32"/>
      <c r="H24" s="31"/>
    </row>
    <row r="25" spans="1:8" s="1" customFormat="1" ht="22.5" customHeight="1" x14ac:dyDescent="0.3">
      <c r="A25" s="42"/>
      <c r="B25" s="43"/>
      <c r="C25" s="30"/>
      <c r="D25" s="31"/>
      <c r="E25" s="31"/>
      <c r="F25" s="32"/>
      <c r="G25" s="32"/>
      <c r="H25" s="31"/>
    </row>
    <row r="26" spans="1:8" s="1" customFormat="1" ht="22.5" customHeight="1" x14ac:dyDescent="0.3">
      <c r="A26" s="42"/>
      <c r="B26" s="43"/>
      <c r="C26" s="30"/>
      <c r="D26" s="31"/>
      <c r="E26" s="31"/>
      <c r="F26" s="32"/>
      <c r="G26" s="32"/>
      <c r="H26" s="31"/>
    </row>
    <row r="27" spans="1:8" s="1" customFormat="1" ht="22.5" customHeight="1" x14ac:dyDescent="0.3">
      <c r="A27" s="42"/>
      <c r="B27" s="43"/>
      <c r="C27" s="30"/>
      <c r="D27" s="31"/>
      <c r="E27" s="31"/>
      <c r="F27" s="32"/>
      <c r="G27" s="32"/>
      <c r="H27" s="31"/>
    </row>
    <row r="28" spans="1:8" s="1" customFormat="1" ht="22.5" customHeight="1" x14ac:dyDescent="0.3">
      <c r="A28" s="42"/>
      <c r="B28" s="43"/>
      <c r="C28" s="30"/>
      <c r="D28" s="31"/>
      <c r="E28" s="31"/>
      <c r="F28" s="32"/>
      <c r="G28" s="32"/>
      <c r="H28" s="31"/>
    </row>
    <row r="29" spans="1:8" s="1" customFormat="1" ht="22.5" customHeight="1" x14ac:dyDescent="0.3">
      <c r="A29" s="42"/>
      <c r="B29" s="43"/>
      <c r="C29" s="30"/>
      <c r="D29" s="31"/>
      <c r="E29" s="31"/>
      <c r="F29" s="32"/>
      <c r="G29" s="32"/>
      <c r="H29" s="31"/>
    </row>
    <row r="30" spans="1:8" s="1" customFormat="1" ht="22.5" customHeight="1" x14ac:dyDescent="0.3">
      <c r="A30" s="42"/>
      <c r="B30" s="43"/>
      <c r="C30" s="30"/>
      <c r="D30" s="31"/>
      <c r="E30" s="31"/>
      <c r="F30" s="32"/>
      <c r="G30" s="32"/>
      <c r="H30" s="31"/>
    </row>
    <row r="31" spans="1:8" s="1" customFormat="1" ht="22.5" customHeight="1" x14ac:dyDescent="0.3">
      <c r="A31" s="42"/>
      <c r="B31" s="43"/>
      <c r="C31" s="30"/>
      <c r="D31" s="31"/>
      <c r="E31" s="31"/>
      <c r="F31" s="32"/>
      <c r="G31" s="32"/>
      <c r="H31" s="31"/>
    </row>
    <row r="32" spans="1:8" s="1" customFormat="1" ht="22.5" customHeight="1" x14ac:dyDescent="0.3">
      <c r="A32" s="42"/>
      <c r="B32" s="43"/>
      <c r="C32" s="30"/>
      <c r="D32" s="31"/>
      <c r="E32" s="31"/>
      <c r="F32" s="32"/>
      <c r="G32" s="32"/>
      <c r="H32" s="31"/>
    </row>
    <row r="33" spans="1:8" s="1" customFormat="1" ht="22.5" customHeight="1" x14ac:dyDescent="0.3">
      <c r="A33" s="42"/>
      <c r="B33" s="43"/>
      <c r="C33" s="30"/>
      <c r="D33" s="31"/>
      <c r="E33" s="31"/>
      <c r="F33" s="32"/>
      <c r="G33" s="32"/>
      <c r="H33" s="31"/>
    </row>
    <row r="34" spans="1:8" s="1" customFormat="1" ht="22.5" customHeight="1" x14ac:dyDescent="0.3">
      <c r="A34" s="42"/>
      <c r="B34" s="43"/>
      <c r="C34" s="30"/>
      <c r="D34" s="31"/>
      <c r="E34" s="31"/>
      <c r="F34" s="32"/>
      <c r="G34" s="32"/>
      <c r="H34" s="31"/>
    </row>
    <row r="35" spans="1:8" s="1" customFormat="1" ht="22.5" customHeight="1" x14ac:dyDescent="0.3">
      <c r="A35" s="42"/>
      <c r="B35" s="43"/>
      <c r="C35" s="30"/>
      <c r="D35" s="31"/>
      <c r="E35" s="31"/>
      <c r="F35" s="32"/>
      <c r="G35" s="32"/>
      <c r="H35" s="31"/>
    </row>
    <row r="36" spans="1:8" s="1" customFormat="1" ht="22.5" customHeight="1" x14ac:dyDescent="0.3">
      <c r="A36" s="42"/>
      <c r="B36" s="43"/>
      <c r="C36" s="30"/>
      <c r="D36" s="31"/>
      <c r="E36" s="31"/>
      <c r="F36" s="32"/>
      <c r="G36" s="32"/>
      <c r="H36" s="31"/>
    </row>
    <row r="37" spans="1:8" s="1" customFormat="1" ht="22.5" customHeight="1" x14ac:dyDescent="0.3">
      <c r="A37" s="42"/>
      <c r="B37" s="43"/>
      <c r="C37" s="30"/>
      <c r="D37" s="31"/>
      <c r="E37" s="31"/>
      <c r="F37" s="32"/>
      <c r="G37" s="32"/>
      <c r="H37" s="31"/>
    </row>
    <row r="38" spans="1:8" s="1" customFormat="1" ht="22.5" customHeight="1" x14ac:dyDescent="0.3">
      <c r="A38" s="42"/>
      <c r="B38" s="43"/>
      <c r="C38" s="30"/>
      <c r="D38" s="31"/>
      <c r="E38" s="31"/>
      <c r="F38" s="32"/>
      <c r="G38" s="32"/>
      <c r="H38" s="31"/>
    </row>
    <row r="39" spans="1:8" s="1" customFormat="1" ht="22.5" customHeight="1" x14ac:dyDescent="0.3">
      <c r="A39" s="42"/>
      <c r="B39" s="43"/>
      <c r="C39" s="30"/>
      <c r="D39" s="31"/>
      <c r="E39" s="31"/>
      <c r="F39" s="32"/>
      <c r="G39" s="32"/>
      <c r="H39" s="31"/>
    </row>
    <row r="40" spans="1:8" s="1" customFormat="1" ht="22.5" customHeight="1" x14ac:dyDescent="0.3">
      <c r="A40" s="42"/>
      <c r="B40" s="43"/>
      <c r="C40" s="30"/>
      <c r="D40" s="31"/>
      <c r="E40" s="31"/>
      <c r="F40" s="32"/>
      <c r="G40" s="32"/>
      <c r="H40" s="31"/>
    </row>
    <row r="41" spans="1:8" s="1" customFormat="1" ht="22.5" customHeight="1" x14ac:dyDescent="0.3">
      <c r="A41" s="42"/>
      <c r="B41" s="43"/>
      <c r="C41" s="30"/>
      <c r="D41" s="31"/>
      <c r="E41" s="31"/>
      <c r="F41" s="32"/>
      <c r="G41" s="32"/>
      <c r="H41" s="31"/>
    </row>
    <row r="42" spans="1:8" s="1" customFormat="1" ht="22.5" customHeight="1" x14ac:dyDescent="0.3">
      <c r="A42" s="42"/>
      <c r="B42" s="43"/>
      <c r="C42" s="30"/>
      <c r="D42" s="31"/>
      <c r="E42" s="31"/>
      <c r="F42" s="32"/>
      <c r="G42" s="32"/>
      <c r="H42" s="31"/>
    </row>
    <row r="43" spans="1:8" s="1" customFormat="1" ht="22.5" customHeight="1" x14ac:dyDescent="0.3">
      <c r="A43" s="42"/>
      <c r="B43" s="43"/>
      <c r="C43" s="30"/>
      <c r="D43" s="31"/>
      <c r="E43" s="31"/>
      <c r="F43" s="32"/>
      <c r="G43" s="32"/>
      <c r="H43" s="31"/>
    </row>
    <row r="44" spans="1:8" s="1" customFormat="1" ht="22.5" customHeight="1" x14ac:dyDescent="0.3">
      <c r="A44" s="42"/>
      <c r="B44" s="43"/>
      <c r="C44" s="30"/>
      <c r="D44" s="31"/>
      <c r="E44" s="31"/>
      <c r="F44" s="32"/>
      <c r="G44" s="32"/>
      <c r="H44" s="31"/>
    </row>
    <row r="45" spans="1:8" s="1" customFormat="1" ht="22.5" customHeight="1" x14ac:dyDescent="0.3">
      <c r="A45" s="42"/>
      <c r="B45" s="43"/>
      <c r="C45" s="45" t="s">
        <v>63</v>
      </c>
      <c r="D45" s="46">
        <f>SUM(F10:F44)</f>
        <v>0</v>
      </c>
      <c r="E45" s="46">
        <f>SUM(G10:G44)</f>
        <v>0</v>
      </c>
      <c r="F45" s="153"/>
      <c r="G45" s="154"/>
      <c r="H45" s="154"/>
    </row>
    <row r="46" spans="1:8" ht="14.4" customHeight="1" x14ac:dyDescent="0.3">
      <c r="C46" s="155"/>
      <c r="D46" s="155"/>
      <c r="E46" s="155"/>
      <c r="F46" s="155"/>
      <c r="G46" s="155"/>
      <c r="H46" s="155"/>
    </row>
    <row r="47" spans="1:8" ht="14.4" customHeight="1" x14ac:dyDescent="0.3">
      <c r="C47" s="155"/>
      <c r="D47" s="155"/>
      <c r="E47" s="155"/>
      <c r="F47" s="155"/>
      <c r="G47" s="155"/>
      <c r="H47" s="155"/>
    </row>
    <row r="48" spans="1:8" ht="14.4" customHeight="1" x14ac:dyDescent="0.3">
      <c r="C48" s="155"/>
      <c r="D48" s="155"/>
      <c r="E48" s="155"/>
      <c r="F48" s="155"/>
      <c r="G48" s="155"/>
      <c r="H48" s="155"/>
    </row>
    <row r="49" spans="3:8" ht="14.4" customHeight="1" x14ac:dyDescent="0.3">
      <c r="C49" s="155"/>
      <c r="D49" s="155"/>
      <c r="E49" s="155"/>
      <c r="F49" s="155"/>
      <c r="G49" s="155"/>
      <c r="H49" s="155"/>
    </row>
    <row r="50" spans="3:8" ht="14.4" customHeight="1" x14ac:dyDescent="0.3">
      <c r="C50" s="155"/>
      <c r="D50" s="155"/>
      <c r="E50" s="155"/>
      <c r="F50" s="155"/>
      <c r="G50" s="155"/>
      <c r="H50" s="155"/>
    </row>
    <row r="51" spans="3:8" ht="14.4" customHeight="1" x14ac:dyDescent="0.3">
      <c r="C51" s="155"/>
      <c r="D51" s="155"/>
      <c r="E51" s="155"/>
      <c r="F51" s="155"/>
      <c r="G51" s="155"/>
      <c r="H51" s="155"/>
    </row>
    <row r="52" spans="3:8" ht="14.4" customHeight="1" x14ac:dyDescent="0.3">
      <c r="C52" s="155"/>
      <c r="D52" s="155"/>
      <c r="E52" s="155"/>
      <c r="F52" s="155"/>
      <c r="G52" s="155"/>
      <c r="H52" s="155"/>
    </row>
    <row r="53" spans="3:8" ht="14.4" customHeight="1" x14ac:dyDescent="0.3">
      <c r="C53" s="155"/>
      <c r="D53" s="155"/>
      <c r="E53" s="155"/>
      <c r="F53" s="155"/>
      <c r="G53" s="155"/>
      <c r="H53" s="155"/>
    </row>
    <row r="54" spans="3:8" ht="14.4" customHeight="1" x14ac:dyDescent="0.3">
      <c r="C54" s="155"/>
      <c r="D54" s="155"/>
      <c r="E54" s="155"/>
      <c r="F54" s="155"/>
      <c r="G54" s="155"/>
      <c r="H54" s="155"/>
    </row>
    <row r="55" spans="3:8" ht="14.4" customHeight="1" x14ac:dyDescent="0.3">
      <c r="C55" s="155"/>
      <c r="D55" s="155"/>
      <c r="E55" s="155"/>
      <c r="F55" s="155"/>
      <c r="G55" s="155"/>
      <c r="H55" s="155"/>
    </row>
    <row r="56" spans="3:8" ht="14.4" customHeight="1" x14ac:dyDescent="0.3">
      <c r="C56" s="155"/>
      <c r="D56" s="155"/>
      <c r="E56" s="155"/>
      <c r="F56" s="155"/>
      <c r="G56" s="155"/>
      <c r="H56" s="155"/>
    </row>
    <row r="57" spans="3:8" ht="14.4" customHeight="1" x14ac:dyDescent="0.3">
      <c r="C57" s="155"/>
      <c r="D57" s="155"/>
      <c r="E57" s="155"/>
      <c r="F57" s="155"/>
      <c r="G57" s="155"/>
      <c r="H57" s="155"/>
    </row>
    <row r="58" spans="3:8" ht="14.4" customHeight="1" x14ac:dyDescent="0.3">
      <c r="C58" s="155"/>
      <c r="D58" s="155"/>
      <c r="E58" s="155"/>
      <c r="F58" s="155"/>
      <c r="G58" s="155"/>
      <c r="H58" s="155"/>
    </row>
    <row r="59" spans="3:8" ht="14.4" customHeight="1" x14ac:dyDescent="0.3">
      <c r="C59" s="155"/>
      <c r="D59" s="155"/>
      <c r="E59" s="155"/>
      <c r="F59" s="155"/>
      <c r="G59" s="155"/>
      <c r="H59" s="155"/>
    </row>
  </sheetData>
  <mergeCells count="4">
    <mergeCell ref="F45:H45"/>
    <mergeCell ref="C46:H59"/>
    <mergeCell ref="B2:H8"/>
    <mergeCell ref="B1:H1"/>
  </mergeCells>
  <dataValidations count="2">
    <dataValidation type="list" allowBlank="1" showInputMessage="1" showErrorMessage="1" sqref="H10:H44" xr:uid="{00000000-0002-0000-0500-000000000000}">
      <formula1>"Espèce,Chèque"</formula1>
    </dataValidation>
    <dataValidation type="list" allowBlank="1" showInputMessage="1" showErrorMessage="1" sqref="D10:D44" xr:uid="{00000000-0002-0000-0500-000001000000}">
      <formula1>"⛽ CARBURANT,🛠️ ENTRETIEN,🔧 REPARATION,🛣️ FRAIS DE ROUTE,💰 SALAIRE,🏅 PRIME,⚙️ AUTRES"</formula1>
    </dataValidation>
  </dataValidations>
  <hyperlinks>
    <hyperlink ref="A2" location="'ACCUEIL'!A1" display="🏠 ACCUEIL" xr:uid="{00000000-0004-0000-0500-000000000000}"/>
    <hyperlink ref="A4" location="'DASHBOARD'!A1" display="📊 DASHBOARD" xr:uid="{00000000-0004-0000-0500-000001000000}"/>
    <hyperlink ref="A5" location="'SUPER-COMPARATIF'!A1" display="🏆 COMPARATIF" xr:uid="{00000000-0004-0000-0500-000002000000}"/>
    <hyperlink ref="A6" location="'CAMION 1'!A1" display="🚚 CAMION 1" xr:uid="{00000000-0004-0000-0500-000003000000}"/>
    <hyperlink ref="A7" location="'CAMION 2'!A1" display="🚚 CAMION 2" xr:uid="{00000000-0004-0000-0500-000004000000}"/>
    <hyperlink ref="A8" location="'CAMION 3'!A1" display="🚚 CAMION 3" xr:uid="{00000000-0004-0000-0500-000005000000}"/>
    <hyperlink ref="A9" location="'CAMION 4'!A1" display="🚚 CAMION 4" xr:uid="{00000000-0004-0000-0500-000006000000}"/>
    <hyperlink ref="A10" location="'CAMION 5'!A1" display="🚚 CAMION 5" xr:uid="{00000000-0004-0000-0500-000007000000}"/>
    <hyperlink ref="A11" location="'CAMION 5'!A1" display="  🚚 CAMION 5" xr:uid="{00000000-0004-0000-05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363D-8B1C-101D-F6B9-226A44DFA968}">
  <sheetPr codeName="Feuil7">
    <tabColor theme="8"/>
  </sheetPr>
  <dimension ref="A1:H148"/>
  <sheetViews>
    <sheetView showGridLines="0" workbookViewId="0">
      <selection activeCell="D10" sqref="D10:D44"/>
    </sheetView>
  </sheetViews>
  <sheetFormatPr baseColWidth="10" defaultColWidth="8.88671875" defaultRowHeight="14.4" customHeight="1" x14ac:dyDescent="0.3"/>
  <cols>
    <col min="1" max="1" width="25.6640625" style="11" customWidth="1"/>
    <col min="2" max="2" width="2.6640625" style="10" customWidth="1"/>
    <col min="3" max="3" width="16.44140625" style="37" customWidth="1"/>
    <col min="4" max="4" width="25" customWidth="1"/>
    <col min="5" max="5" width="29.6640625" customWidth="1"/>
    <col min="6" max="6" width="20" style="38" customWidth="1"/>
    <col min="7" max="7" width="20.5546875" style="38" customWidth="1"/>
    <col min="8" max="8" width="18.88671875" customWidth="1"/>
  </cols>
  <sheetData>
    <row r="1" spans="1:8" ht="28.5" customHeight="1" x14ac:dyDescent="0.45">
      <c r="B1" s="158" t="s">
        <v>28</v>
      </c>
      <c r="C1" s="159"/>
      <c r="D1" s="159"/>
      <c r="E1" s="159"/>
      <c r="F1" s="159"/>
      <c r="G1" s="159"/>
      <c r="H1" s="160"/>
    </row>
    <row r="2" spans="1:8" ht="21.75" customHeight="1" x14ac:dyDescent="0.3">
      <c r="A2" s="7" t="s">
        <v>9</v>
      </c>
      <c r="C2" s="145" t="s">
        <v>69</v>
      </c>
      <c r="D2" s="145"/>
      <c r="E2" s="145"/>
      <c r="F2" s="145"/>
      <c r="G2" s="145"/>
      <c r="H2" s="145"/>
    </row>
    <row r="3" spans="1:8" ht="21.75" customHeight="1" x14ac:dyDescent="0.3">
      <c r="C3" s="145"/>
      <c r="D3" s="145"/>
      <c r="E3" s="145"/>
      <c r="F3" s="145"/>
      <c r="G3" s="145"/>
      <c r="H3" s="145"/>
    </row>
    <row r="4" spans="1:8" ht="21.75" customHeight="1" x14ac:dyDescent="0.3">
      <c r="A4" s="8" t="s">
        <v>20</v>
      </c>
      <c r="C4" s="145"/>
      <c r="D4" s="145"/>
      <c r="E4" s="145"/>
      <c r="F4" s="145"/>
      <c r="G4" s="145"/>
      <c r="H4" s="145"/>
    </row>
    <row r="5" spans="1:8" ht="21.75" customHeight="1" x14ac:dyDescent="0.3">
      <c r="A5" s="8" t="s">
        <v>22</v>
      </c>
      <c r="C5" s="145"/>
      <c r="D5" s="145"/>
      <c r="E5" s="145"/>
      <c r="F5" s="145"/>
      <c r="G5" s="145"/>
      <c r="H5" s="145"/>
    </row>
    <row r="6" spans="1:8" ht="21.75" customHeight="1" x14ac:dyDescent="0.3">
      <c r="A6" s="8" t="s">
        <v>19</v>
      </c>
      <c r="C6" s="145"/>
      <c r="D6" s="145"/>
      <c r="E6" s="145"/>
      <c r="F6" s="145"/>
      <c r="G6" s="145"/>
      <c r="H6" s="145"/>
    </row>
    <row r="7" spans="1:8" ht="21.75" customHeight="1" x14ac:dyDescent="0.3">
      <c r="A7" s="8" t="s">
        <v>21</v>
      </c>
      <c r="C7" s="145"/>
      <c r="D7" s="145"/>
      <c r="E7" s="145"/>
      <c r="F7" s="145"/>
      <c r="G7" s="145"/>
      <c r="H7" s="145"/>
    </row>
    <row r="8" spans="1:8" ht="21.75" customHeight="1" x14ac:dyDescent="0.3">
      <c r="A8" s="8" t="s">
        <v>23</v>
      </c>
      <c r="C8" s="156"/>
      <c r="D8" s="156"/>
      <c r="E8" s="156"/>
      <c r="F8" s="156"/>
      <c r="G8" s="156"/>
      <c r="H8" s="156"/>
    </row>
    <row r="9" spans="1:8" ht="21.75" customHeight="1" x14ac:dyDescent="0.3">
      <c r="A9" s="8" t="s">
        <v>28</v>
      </c>
      <c r="C9" s="29" t="s">
        <v>56</v>
      </c>
      <c r="D9" s="29" t="s">
        <v>57</v>
      </c>
      <c r="E9" s="29" t="s">
        <v>58</v>
      </c>
      <c r="F9" s="29" t="s">
        <v>49</v>
      </c>
      <c r="G9" s="29" t="s">
        <v>50</v>
      </c>
      <c r="H9" s="29" t="s">
        <v>59</v>
      </c>
    </row>
    <row r="10" spans="1:8" ht="21.75" customHeight="1" x14ac:dyDescent="0.3">
      <c r="A10" s="8" t="s">
        <v>29</v>
      </c>
      <c r="C10" s="47"/>
      <c r="D10" s="48"/>
      <c r="E10" s="48"/>
      <c r="F10" s="49"/>
      <c r="G10" s="49"/>
      <c r="H10" s="48"/>
    </row>
    <row r="11" spans="1:8" ht="21.75" customHeight="1" x14ac:dyDescent="0.3">
      <c r="A11" s="9" t="s">
        <v>30</v>
      </c>
      <c r="C11" s="47"/>
      <c r="D11" s="48"/>
      <c r="E11" s="48"/>
      <c r="F11" s="49"/>
      <c r="G11" s="49"/>
      <c r="H11" s="48"/>
    </row>
    <row r="12" spans="1:8" ht="21.75" customHeight="1" x14ac:dyDescent="0.3">
      <c r="C12" s="47"/>
      <c r="D12" s="48"/>
      <c r="E12" s="48"/>
      <c r="F12" s="49"/>
      <c r="G12" s="49"/>
      <c r="H12" s="48"/>
    </row>
    <row r="13" spans="1:8" ht="21.75" customHeight="1" x14ac:dyDescent="0.3">
      <c r="C13" s="47"/>
      <c r="D13" s="48"/>
      <c r="E13" s="48"/>
      <c r="F13" s="49"/>
      <c r="G13" s="49"/>
      <c r="H13" s="48"/>
    </row>
    <row r="14" spans="1:8" ht="21.75" customHeight="1" x14ac:dyDescent="0.3">
      <c r="C14" s="47"/>
      <c r="D14" s="48"/>
      <c r="E14" s="48"/>
      <c r="F14" s="49"/>
      <c r="G14" s="49"/>
      <c r="H14" s="48"/>
    </row>
    <row r="15" spans="1:8" ht="21.75" customHeight="1" x14ac:dyDescent="0.3">
      <c r="C15" s="47"/>
      <c r="D15" s="48"/>
      <c r="E15" s="48"/>
      <c r="F15" s="49"/>
      <c r="G15" s="49"/>
      <c r="H15" s="48"/>
    </row>
    <row r="16" spans="1:8" ht="21.75" customHeight="1" x14ac:dyDescent="0.3">
      <c r="C16" s="47"/>
      <c r="D16" s="48"/>
      <c r="E16" s="48"/>
      <c r="F16" s="49"/>
      <c r="G16" s="49"/>
      <c r="H16" s="48"/>
    </row>
    <row r="17" spans="3:8" ht="21.75" customHeight="1" x14ac:dyDescent="0.3">
      <c r="C17" s="47"/>
      <c r="D17" s="48"/>
      <c r="E17" s="48"/>
      <c r="F17" s="49"/>
      <c r="G17" s="49"/>
      <c r="H17" s="48"/>
    </row>
    <row r="18" spans="3:8" ht="21.75" customHeight="1" x14ac:dyDescent="0.3">
      <c r="C18" s="47"/>
      <c r="D18" s="48"/>
      <c r="E18" s="48"/>
      <c r="F18" s="49"/>
      <c r="G18" s="49"/>
      <c r="H18" s="48"/>
    </row>
    <row r="19" spans="3:8" ht="21.75" customHeight="1" x14ac:dyDescent="0.3">
      <c r="C19" s="47"/>
      <c r="D19" s="48"/>
      <c r="E19" s="48"/>
      <c r="F19" s="49"/>
      <c r="G19" s="49"/>
      <c r="H19" s="48"/>
    </row>
    <row r="20" spans="3:8" ht="21.75" customHeight="1" x14ac:dyDescent="0.3">
      <c r="C20" s="47"/>
      <c r="D20" s="48"/>
      <c r="E20" s="48"/>
      <c r="F20" s="49"/>
      <c r="G20" s="49"/>
      <c r="H20" s="48"/>
    </row>
    <row r="21" spans="3:8" ht="21.75" customHeight="1" x14ac:dyDescent="0.3">
      <c r="C21" s="47"/>
      <c r="D21" s="48"/>
      <c r="E21" s="48"/>
      <c r="F21" s="49"/>
      <c r="G21" s="49"/>
      <c r="H21" s="48"/>
    </row>
    <row r="22" spans="3:8" ht="21.75" customHeight="1" x14ac:dyDescent="0.3">
      <c r="C22" s="47"/>
      <c r="D22" s="48"/>
      <c r="E22" s="48"/>
      <c r="F22" s="49"/>
      <c r="G22" s="49"/>
      <c r="H22" s="48"/>
    </row>
    <row r="23" spans="3:8" ht="21.75" customHeight="1" x14ac:dyDescent="0.3">
      <c r="C23" s="47"/>
      <c r="D23" s="48"/>
      <c r="E23" s="48"/>
      <c r="F23" s="49"/>
      <c r="G23" s="49"/>
      <c r="H23" s="48"/>
    </row>
    <row r="24" spans="3:8" ht="21.75" customHeight="1" x14ac:dyDescent="0.3">
      <c r="C24" s="47"/>
      <c r="D24" s="48"/>
      <c r="E24" s="48"/>
      <c r="F24" s="49"/>
      <c r="G24" s="49"/>
      <c r="H24" s="48"/>
    </row>
    <row r="25" spans="3:8" ht="21.75" customHeight="1" x14ac:dyDescent="0.3">
      <c r="C25" s="47"/>
      <c r="D25" s="48"/>
      <c r="E25" s="48"/>
      <c r="F25" s="49"/>
      <c r="G25" s="49"/>
      <c r="H25" s="48"/>
    </row>
    <row r="26" spans="3:8" ht="21.75" customHeight="1" x14ac:dyDescent="0.3">
      <c r="C26" s="47"/>
      <c r="D26" s="48"/>
      <c r="E26" s="48"/>
      <c r="F26" s="49"/>
      <c r="G26" s="49"/>
      <c r="H26" s="48"/>
    </row>
    <row r="27" spans="3:8" ht="21.75" customHeight="1" x14ac:dyDescent="0.3">
      <c r="C27" s="47"/>
      <c r="D27" s="48"/>
      <c r="E27" s="48"/>
      <c r="F27" s="49"/>
      <c r="G27" s="49"/>
      <c r="H27" s="48"/>
    </row>
    <row r="28" spans="3:8" ht="21.75" customHeight="1" x14ac:dyDescent="0.3">
      <c r="C28" s="47"/>
      <c r="D28" s="48"/>
      <c r="E28" s="48"/>
      <c r="F28" s="49"/>
      <c r="G28" s="49"/>
      <c r="H28" s="48"/>
    </row>
    <row r="29" spans="3:8" ht="21.75" customHeight="1" x14ac:dyDescent="0.3">
      <c r="C29" s="47"/>
      <c r="D29" s="48"/>
      <c r="E29" s="48"/>
      <c r="F29" s="49"/>
      <c r="G29" s="49"/>
      <c r="H29" s="48"/>
    </row>
    <row r="30" spans="3:8" ht="21.75" customHeight="1" x14ac:dyDescent="0.3">
      <c r="C30" s="47"/>
      <c r="D30" s="48"/>
      <c r="E30" s="48"/>
      <c r="F30" s="49"/>
      <c r="G30" s="49"/>
      <c r="H30" s="48"/>
    </row>
    <row r="31" spans="3:8" ht="21.75" customHeight="1" x14ac:dyDescent="0.3">
      <c r="C31" s="47"/>
      <c r="D31" s="48"/>
      <c r="E31" s="48"/>
      <c r="F31" s="49"/>
      <c r="G31" s="49"/>
      <c r="H31" s="48"/>
    </row>
    <row r="32" spans="3:8" ht="21.75" customHeight="1" x14ac:dyDescent="0.3">
      <c r="C32" s="47"/>
      <c r="D32" s="48"/>
      <c r="E32" s="48"/>
      <c r="F32" s="49"/>
      <c r="G32" s="49"/>
      <c r="H32" s="48"/>
    </row>
    <row r="33" spans="3:8" ht="21.75" customHeight="1" x14ac:dyDescent="0.3">
      <c r="C33" s="47"/>
      <c r="D33" s="48"/>
      <c r="E33" s="48"/>
      <c r="F33" s="49"/>
      <c r="G33" s="49"/>
      <c r="H33" s="48"/>
    </row>
    <row r="34" spans="3:8" ht="21.75" customHeight="1" x14ac:dyDescent="0.3">
      <c r="C34" s="47"/>
      <c r="D34" s="48"/>
      <c r="E34" s="48"/>
      <c r="F34" s="49"/>
      <c r="G34" s="49"/>
      <c r="H34" s="48"/>
    </row>
    <row r="35" spans="3:8" ht="21.75" customHeight="1" x14ac:dyDescent="0.3">
      <c r="C35" s="47"/>
      <c r="D35" s="48"/>
      <c r="E35" s="48"/>
      <c r="F35" s="49"/>
      <c r="G35" s="49"/>
      <c r="H35" s="48"/>
    </row>
    <row r="36" spans="3:8" ht="21.75" customHeight="1" x14ac:dyDescent="0.3">
      <c r="C36" s="47"/>
      <c r="D36" s="48"/>
      <c r="E36" s="48"/>
      <c r="F36" s="49"/>
      <c r="G36" s="49"/>
      <c r="H36" s="48"/>
    </row>
    <row r="37" spans="3:8" ht="21.75" customHeight="1" x14ac:dyDescent="0.3">
      <c r="C37" s="47"/>
      <c r="D37" s="48"/>
      <c r="E37" s="48"/>
      <c r="F37" s="49"/>
      <c r="G37" s="49"/>
      <c r="H37" s="48"/>
    </row>
    <row r="38" spans="3:8" ht="21.75" customHeight="1" x14ac:dyDescent="0.3">
      <c r="C38" s="47"/>
      <c r="D38" s="48"/>
      <c r="E38" s="48"/>
      <c r="F38" s="49"/>
      <c r="G38" s="49"/>
      <c r="H38" s="48"/>
    </row>
    <row r="39" spans="3:8" ht="21.75" customHeight="1" x14ac:dyDescent="0.3">
      <c r="C39" s="47"/>
      <c r="D39" s="48"/>
      <c r="E39" s="48"/>
      <c r="F39" s="49"/>
      <c r="G39" s="49"/>
      <c r="H39" s="48"/>
    </row>
    <row r="40" spans="3:8" ht="21.75" customHeight="1" x14ac:dyDescent="0.3">
      <c r="C40" s="47"/>
      <c r="D40" s="48"/>
      <c r="E40" s="48"/>
      <c r="F40" s="49"/>
      <c r="G40" s="49"/>
      <c r="H40" s="48"/>
    </row>
    <row r="41" spans="3:8" ht="21.75" customHeight="1" x14ac:dyDescent="0.3">
      <c r="C41" s="47"/>
      <c r="D41" s="48"/>
      <c r="E41" s="48"/>
      <c r="F41" s="49"/>
      <c r="G41" s="49"/>
      <c r="H41" s="48"/>
    </row>
    <row r="42" spans="3:8" ht="21.75" customHeight="1" x14ac:dyDescent="0.3">
      <c r="C42" s="47"/>
      <c r="D42" s="48"/>
      <c r="E42" s="48"/>
      <c r="F42" s="49"/>
      <c r="G42" s="49"/>
      <c r="H42" s="48"/>
    </row>
    <row r="43" spans="3:8" ht="21.75" customHeight="1" x14ac:dyDescent="0.3">
      <c r="C43" s="47"/>
      <c r="D43" s="48"/>
      <c r="E43" s="48"/>
      <c r="F43" s="49"/>
      <c r="G43" s="49"/>
      <c r="H43" s="48"/>
    </row>
    <row r="44" spans="3:8" ht="21.75" customHeight="1" x14ac:dyDescent="0.3">
      <c r="C44" s="47"/>
      <c r="D44" s="48"/>
      <c r="E44" s="48"/>
      <c r="F44" s="49"/>
      <c r="G44" s="49"/>
      <c r="H44" s="48"/>
    </row>
    <row r="45" spans="3:8" ht="21.75" customHeight="1" x14ac:dyDescent="0.3">
      <c r="C45" s="45" t="s">
        <v>63</v>
      </c>
      <c r="D45" s="50">
        <f>SUM(F10:F44)</f>
        <v>0</v>
      </c>
      <c r="E45" s="50">
        <f>SUM(G10:G44)</f>
        <v>0</v>
      </c>
      <c r="F45" s="153"/>
      <c r="G45" s="154"/>
      <c r="H45" s="154"/>
    </row>
    <row r="46" spans="3:8" ht="14.4" customHeight="1" x14ac:dyDescent="0.3">
      <c r="C46" s="157"/>
      <c r="D46" s="157"/>
      <c r="E46" s="157"/>
      <c r="F46" s="157"/>
      <c r="G46" s="157"/>
      <c r="H46" s="157"/>
    </row>
    <row r="47" spans="3:8" ht="14.4" customHeight="1" x14ac:dyDescent="0.3">
      <c r="C47" s="157"/>
      <c r="D47" s="157"/>
      <c r="E47" s="157"/>
      <c r="F47" s="157"/>
      <c r="G47" s="157"/>
      <c r="H47" s="157"/>
    </row>
    <row r="48" spans="3:8" ht="14.4" customHeight="1" x14ac:dyDescent="0.3">
      <c r="C48" s="157"/>
      <c r="D48" s="157"/>
      <c r="E48" s="157"/>
      <c r="F48" s="157"/>
      <c r="G48" s="157"/>
      <c r="H48" s="157"/>
    </row>
    <row r="49" spans="3:8" ht="14.4" customHeight="1" x14ac:dyDescent="0.3">
      <c r="C49" s="157"/>
      <c r="D49" s="157"/>
      <c r="E49" s="157"/>
      <c r="F49" s="157"/>
      <c r="G49" s="157"/>
      <c r="H49" s="157"/>
    </row>
    <row r="50" spans="3:8" ht="14.4" customHeight="1" x14ac:dyDescent="0.3">
      <c r="C50" s="157"/>
      <c r="D50" s="157"/>
      <c r="E50" s="157"/>
      <c r="F50" s="157"/>
      <c r="G50" s="157"/>
      <c r="H50" s="157"/>
    </row>
    <row r="51" spans="3:8" ht="14.4" customHeight="1" x14ac:dyDescent="0.3">
      <c r="C51" s="157"/>
      <c r="D51" s="157"/>
      <c r="E51" s="157"/>
      <c r="F51" s="157"/>
      <c r="G51" s="157"/>
      <c r="H51" s="157"/>
    </row>
    <row r="52" spans="3:8" ht="14.4" customHeight="1" x14ac:dyDescent="0.3">
      <c r="C52" s="157"/>
      <c r="D52" s="157"/>
      <c r="E52" s="157"/>
      <c r="F52" s="157"/>
      <c r="G52" s="157"/>
      <c r="H52" s="157"/>
    </row>
    <row r="53" spans="3:8" ht="14.4" customHeight="1" x14ac:dyDescent="0.3">
      <c r="C53" s="157"/>
      <c r="D53" s="157"/>
      <c r="E53" s="157"/>
      <c r="F53" s="157"/>
      <c r="G53" s="157"/>
      <c r="H53" s="157"/>
    </row>
    <row r="54" spans="3:8" ht="14.4" customHeight="1" x14ac:dyDescent="0.3">
      <c r="C54" s="157"/>
      <c r="D54" s="157"/>
      <c r="E54" s="157"/>
      <c r="F54" s="157"/>
      <c r="G54" s="157"/>
      <c r="H54" s="157"/>
    </row>
    <row r="55" spans="3:8" ht="14.4" customHeight="1" x14ac:dyDescent="0.3">
      <c r="C55" s="157"/>
      <c r="D55" s="157"/>
      <c r="E55" s="157"/>
      <c r="F55" s="157"/>
      <c r="G55" s="157"/>
      <c r="H55" s="157"/>
    </row>
    <row r="56" spans="3:8" ht="14.4" customHeight="1" x14ac:dyDescent="0.3">
      <c r="C56" s="157"/>
      <c r="D56" s="157"/>
      <c r="E56" s="157"/>
      <c r="F56" s="157"/>
      <c r="G56" s="157"/>
      <c r="H56" s="157"/>
    </row>
    <row r="57" spans="3:8" ht="14.4" customHeight="1" x14ac:dyDescent="0.3">
      <c r="C57" s="157"/>
      <c r="D57" s="157"/>
      <c r="E57" s="157"/>
      <c r="F57" s="157"/>
      <c r="G57" s="157"/>
      <c r="H57" s="157"/>
    </row>
    <row r="58" spans="3:8" ht="14.4" customHeight="1" x14ac:dyDescent="0.3">
      <c r="C58" s="157"/>
      <c r="D58" s="157"/>
      <c r="E58" s="157"/>
      <c r="F58" s="157"/>
      <c r="G58" s="157"/>
      <c r="H58" s="157"/>
    </row>
    <row r="59" spans="3:8" ht="14.4" customHeight="1" x14ac:dyDescent="0.3">
      <c r="C59" s="157"/>
      <c r="D59" s="157"/>
      <c r="E59" s="157"/>
      <c r="F59" s="157"/>
      <c r="G59" s="157"/>
      <c r="H59" s="157"/>
    </row>
    <row r="60" spans="3:8" ht="14.4" customHeight="1" x14ac:dyDescent="0.3">
      <c r="C60" s="157"/>
      <c r="D60" s="157"/>
      <c r="E60" s="157"/>
      <c r="F60" s="157"/>
      <c r="G60" s="157"/>
      <c r="H60" s="157"/>
    </row>
    <row r="61" spans="3:8" ht="14.4" customHeight="1" x14ac:dyDescent="0.3">
      <c r="C61" s="157"/>
      <c r="D61" s="157"/>
      <c r="E61" s="157"/>
      <c r="F61" s="157"/>
      <c r="G61" s="157"/>
      <c r="H61" s="157"/>
    </row>
    <row r="62" spans="3:8" ht="14.4" customHeight="1" x14ac:dyDescent="0.3">
      <c r="C62" s="157"/>
      <c r="D62" s="157"/>
      <c r="E62" s="157"/>
      <c r="F62" s="157"/>
      <c r="G62" s="157"/>
      <c r="H62" s="157"/>
    </row>
    <row r="63" spans="3:8" ht="14.4" customHeight="1" x14ac:dyDescent="0.3">
      <c r="C63" s="157"/>
      <c r="D63" s="157"/>
      <c r="E63" s="157"/>
      <c r="F63" s="157"/>
      <c r="G63" s="157"/>
      <c r="H63" s="157"/>
    </row>
    <row r="64" spans="3:8" ht="14.4" customHeight="1" x14ac:dyDescent="0.3">
      <c r="C64" s="157"/>
      <c r="D64" s="157"/>
      <c r="E64" s="157"/>
      <c r="F64" s="157"/>
      <c r="G64" s="157"/>
      <c r="H64" s="157"/>
    </row>
    <row r="65" spans="3:8" ht="14.4" customHeight="1" x14ac:dyDescent="0.3">
      <c r="C65" s="157"/>
      <c r="D65" s="157"/>
      <c r="E65" s="157"/>
      <c r="F65" s="157"/>
      <c r="G65" s="157"/>
      <c r="H65" s="157"/>
    </row>
    <row r="66" spans="3:8" ht="14.4" customHeight="1" x14ac:dyDescent="0.3">
      <c r="C66" s="157"/>
      <c r="D66" s="157"/>
      <c r="E66" s="157"/>
      <c r="F66" s="157"/>
      <c r="G66" s="157"/>
      <c r="H66" s="157"/>
    </row>
    <row r="67" spans="3:8" ht="14.4" customHeight="1" x14ac:dyDescent="0.3">
      <c r="C67" s="157"/>
      <c r="D67" s="157"/>
      <c r="E67" s="157"/>
      <c r="F67" s="157"/>
      <c r="G67" s="157"/>
      <c r="H67" s="157"/>
    </row>
    <row r="68" spans="3:8" ht="14.4" customHeight="1" x14ac:dyDescent="0.3">
      <c r="C68" s="157"/>
      <c r="D68" s="157"/>
      <c r="E68" s="157"/>
      <c r="F68" s="157"/>
      <c r="G68" s="157"/>
      <c r="H68" s="157"/>
    </row>
    <row r="69" spans="3:8" ht="14.4" customHeight="1" x14ac:dyDescent="0.3">
      <c r="C69" s="157"/>
      <c r="D69" s="157"/>
      <c r="E69" s="157"/>
      <c r="F69" s="157"/>
      <c r="G69" s="157"/>
      <c r="H69" s="157"/>
    </row>
    <row r="70" spans="3:8" ht="14.4" customHeight="1" x14ac:dyDescent="0.3">
      <c r="C70" s="157"/>
      <c r="D70" s="157"/>
      <c r="E70" s="157"/>
      <c r="F70" s="157"/>
      <c r="G70" s="157"/>
      <c r="H70" s="157"/>
    </row>
    <row r="71" spans="3:8" ht="14.4" customHeight="1" x14ac:dyDescent="0.3">
      <c r="C71" s="157"/>
      <c r="D71" s="157"/>
      <c r="E71" s="157"/>
      <c r="F71" s="157"/>
      <c r="G71" s="157"/>
      <c r="H71" s="157"/>
    </row>
    <row r="72" spans="3:8" ht="14.4" customHeight="1" x14ac:dyDescent="0.3">
      <c r="C72" s="157"/>
      <c r="D72" s="157"/>
      <c r="E72" s="157"/>
      <c r="F72" s="157"/>
      <c r="G72" s="157"/>
      <c r="H72" s="157"/>
    </row>
    <row r="73" spans="3:8" ht="14.4" customHeight="1" x14ac:dyDescent="0.3">
      <c r="C73" s="157"/>
      <c r="D73" s="157"/>
      <c r="E73" s="157"/>
      <c r="F73" s="157"/>
      <c r="G73" s="157"/>
      <c r="H73" s="157"/>
    </row>
    <row r="74" spans="3:8" ht="14.4" customHeight="1" x14ac:dyDescent="0.3">
      <c r="C74" s="157"/>
      <c r="D74" s="157"/>
      <c r="E74" s="157"/>
      <c r="F74" s="157"/>
      <c r="G74" s="157"/>
      <c r="H74" s="157"/>
    </row>
    <row r="75" spans="3:8" ht="14.4" customHeight="1" x14ac:dyDescent="0.3">
      <c r="C75" s="157"/>
      <c r="D75" s="157"/>
      <c r="E75" s="157"/>
      <c r="F75" s="157"/>
      <c r="G75" s="157"/>
      <c r="H75" s="157"/>
    </row>
    <row r="76" spans="3:8" ht="14.4" customHeight="1" x14ac:dyDescent="0.3">
      <c r="C76" s="157"/>
      <c r="D76" s="157"/>
      <c r="E76" s="157"/>
      <c r="F76" s="157"/>
      <c r="G76" s="157"/>
      <c r="H76" s="157"/>
    </row>
    <row r="77" spans="3:8" ht="14.4" customHeight="1" x14ac:dyDescent="0.3">
      <c r="C77" s="157"/>
      <c r="D77" s="157"/>
      <c r="E77" s="157"/>
      <c r="F77" s="157"/>
      <c r="G77" s="157"/>
      <c r="H77" s="157"/>
    </row>
    <row r="78" spans="3:8" ht="14.4" customHeight="1" x14ac:dyDescent="0.3">
      <c r="C78" s="157"/>
      <c r="D78" s="157"/>
      <c r="E78" s="157"/>
      <c r="F78" s="157"/>
      <c r="G78" s="157"/>
      <c r="H78" s="157"/>
    </row>
    <row r="79" spans="3:8" ht="14.4" customHeight="1" x14ac:dyDescent="0.3">
      <c r="C79" s="157"/>
      <c r="D79" s="157"/>
      <c r="E79" s="157"/>
      <c r="F79" s="157"/>
      <c r="G79" s="157"/>
      <c r="H79" s="157"/>
    </row>
    <row r="80" spans="3:8" ht="14.4" customHeight="1" x14ac:dyDescent="0.3">
      <c r="C80" s="157"/>
      <c r="D80" s="157"/>
      <c r="E80" s="157"/>
      <c r="F80" s="157"/>
      <c r="G80" s="157"/>
      <c r="H80" s="157"/>
    </row>
    <row r="81" spans="3:8" ht="14.4" customHeight="1" x14ac:dyDescent="0.3">
      <c r="C81" s="157"/>
      <c r="D81" s="157"/>
      <c r="E81" s="157"/>
      <c r="F81" s="157"/>
      <c r="G81" s="157"/>
      <c r="H81" s="157"/>
    </row>
    <row r="82" spans="3:8" ht="14.4" customHeight="1" x14ac:dyDescent="0.3">
      <c r="C82" s="157"/>
      <c r="D82" s="157"/>
      <c r="E82" s="157"/>
      <c r="F82" s="157"/>
      <c r="G82" s="157"/>
      <c r="H82" s="157"/>
    </row>
    <row r="83" spans="3:8" ht="14.4" customHeight="1" x14ac:dyDescent="0.3">
      <c r="C83" s="157"/>
      <c r="D83" s="157"/>
      <c r="E83" s="157"/>
      <c r="F83" s="157"/>
      <c r="G83" s="157"/>
      <c r="H83" s="157"/>
    </row>
    <row r="84" spans="3:8" ht="14.4" customHeight="1" x14ac:dyDescent="0.3">
      <c r="C84" s="157"/>
      <c r="D84" s="157"/>
      <c r="E84" s="157"/>
      <c r="F84" s="157"/>
      <c r="G84" s="157"/>
      <c r="H84" s="157"/>
    </row>
    <row r="85" spans="3:8" ht="14.4" customHeight="1" x14ac:dyDescent="0.3">
      <c r="C85" s="157"/>
      <c r="D85" s="157"/>
      <c r="E85" s="157"/>
      <c r="F85" s="157"/>
      <c r="G85" s="157"/>
      <c r="H85" s="157"/>
    </row>
    <row r="86" spans="3:8" ht="14.4" customHeight="1" x14ac:dyDescent="0.3">
      <c r="C86" s="157"/>
      <c r="D86" s="157"/>
      <c r="E86" s="157"/>
      <c r="F86" s="157"/>
      <c r="G86" s="157"/>
      <c r="H86" s="157"/>
    </row>
    <row r="87" spans="3:8" ht="14.4" customHeight="1" x14ac:dyDescent="0.3">
      <c r="C87" s="157"/>
      <c r="D87" s="157"/>
      <c r="E87" s="157"/>
      <c r="F87" s="157"/>
      <c r="G87" s="157"/>
      <c r="H87" s="157"/>
    </row>
    <row r="88" spans="3:8" ht="14.4" customHeight="1" x14ac:dyDescent="0.3">
      <c r="C88" s="157"/>
      <c r="D88" s="157"/>
      <c r="E88" s="157"/>
      <c r="F88" s="157"/>
      <c r="G88" s="157"/>
      <c r="H88" s="157"/>
    </row>
    <row r="89" spans="3:8" ht="14.4" customHeight="1" x14ac:dyDescent="0.3">
      <c r="C89" s="157"/>
      <c r="D89" s="157"/>
      <c r="E89" s="157"/>
      <c r="F89" s="157"/>
      <c r="G89" s="157"/>
      <c r="H89" s="157"/>
    </row>
    <row r="90" spans="3:8" ht="14.4" customHeight="1" x14ac:dyDescent="0.3">
      <c r="C90" s="157"/>
      <c r="D90" s="157"/>
      <c r="E90" s="157"/>
      <c r="F90" s="157"/>
      <c r="G90" s="157"/>
      <c r="H90" s="157"/>
    </row>
    <row r="91" spans="3:8" ht="14.4" customHeight="1" x14ac:dyDescent="0.3">
      <c r="C91" s="157"/>
      <c r="D91" s="157"/>
      <c r="E91" s="157"/>
      <c r="F91" s="157"/>
      <c r="G91" s="157"/>
      <c r="H91" s="157"/>
    </row>
    <row r="92" spans="3:8" ht="14.4" customHeight="1" x14ac:dyDescent="0.3">
      <c r="C92" s="157"/>
      <c r="D92" s="157"/>
      <c r="E92" s="157"/>
      <c r="F92" s="157"/>
      <c r="G92" s="157"/>
      <c r="H92" s="157"/>
    </row>
    <row r="93" spans="3:8" ht="14.4" customHeight="1" x14ac:dyDescent="0.3">
      <c r="C93" s="157"/>
      <c r="D93" s="157"/>
      <c r="E93" s="157"/>
      <c r="F93" s="157"/>
      <c r="G93" s="157"/>
      <c r="H93" s="157"/>
    </row>
    <row r="94" spans="3:8" ht="14.4" customHeight="1" x14ac:dyDescent="0.3">
      <c r="C94" s="157"/>
      <c r="D94" s="157"/>
      <c r="E94" s="157"/>
      <c r="F94" s="157"/>
      <c r="G94" s="157"/>
      <c r="H94" s="157"/>
    </row>
    <row r="95" spans="3:8" ht="14.4" customHeight="1" x14ac:dyDescent="0.3">
      <c r="C95" s="157"/>
      <c r="D95" s="157"/>
      <c r="E95" s="157"/>
      <c r="F95" s="157"/>
      <c r="G95" s="157"/>
      <c r="H95" s="157"/>
    </row>
    <row r="96" spans="3:8" ht="14.4" customHeight="1" x14ac:dyDescent="0.3">
      <c r="C96" s="157"/>
      <c r="D96" s="157"/>
      <c r="E96" s="157"/>
      <c r="F96" s="157"/>
      <c r="G96" s="157"/>
      <c r="H96" s="157"/>
    </row>
    <row r="97" spans="3:8" ht="14.4" customHeight="1" x14ac:dyDescent="0.3">
      <c r="C97" s="157"/>
      <c r="D97" s="157"/>
      <c r="E97" s="157"/>
      <c r="F97" s="157"/>
      <c r="G97" s="157"/>
      <c r="H97" s="157"/>
    </row>
    <row r="98" spans="3:8" ht="14.4" customHeight="1" x14ac:dyDescent="0.3">
      <c r="C98" s="157"/>
      <c r="D98" s="157"/>
      <c r="E98" s="157"/>
      <c r="F98" s="157"/>
      <c r="G98" s="157"/>
      <c r="H98" s="157"/>
    </row>
    <row r="99" spans="3:8" ht="14.4" customHeight="1" x14ac:dyDescent="0.3">
      <c r="C99" s="157"/>
      <c r="D99" s="157"/>
      <c r="E99" s="157"/>
      <c r="F99" s="157"/>
      <c r="G99" s="157"/>
      <c r="H99" s="157"/>
    </row>
    <row r="100" spans="3:8" ht="14.4" customHeight="1" x14ac:dyDescent="0.3">
      <c r="C100" s="157"/>
      <c r="D100" s="157"/>
      <c r="E100" s="157"/>
      <c r="F100" s="157"/>
      <c r="G100" s="157"/>
      <c r="H100" s="157"/>
    </row>
    <row r="101" spans="3:8" ht="14.4" customHeight="1" x14ac:dyDescent="0.3">
      <c r="C101" s="157"/>
      <c r="D101" s="157"/>
      <c r="E101" s="157"/>
      <c r="F101" s="157"/>
      <c r="G101" s="157"/>
      <c r="H101" s="157"/>
    </row>
    <row r="102" spans="3:8" ht="14.4" customHeight="1" x14ac:dyDescent="0.3">
      <c r="C102" s="157"/>
      <c r="D102" s="157"/>
      <c r="E102" s="157"/>
      <c r="F102" s="157"/>
      <c r="G102" s="157"/>
      <c r="H102" s="157"/>
    </row>
    <row r="103" spans="3:8" ht="14.4" customHeight="1" x14ac:dyDescent="0.3">
      <c r="C103" s="157"/>
      <c r="D103" s="157"/>
      <c r="E103" s="157"/>
      <c r="F103" s="157"/>
      <c r="G103" s="157"/>
      <c r="H103" s="157"/>
    </row>
    <row r="104" spans="3:8" ht="14.4" customHeight="1" x14ac:dyDescent="0.3">
      <c r="C104" s="157"/>
      <c r="D104" s="157"/>
      <c r="E104" s="157"/>
      <c r="F104" s="157"/>
      <c r="G104" s="157"/>
      <c r="H104" s="157"/>
    </row>
    <row r="105" spans="3:8" ht="14.4" customHeight="1" x14ac:dyDescent="0.3">
      <c r="C105" s="157"/>
      <c r="D105" s="157"/>
      <c r="E105" s="157"/>
      <c r="F105" s="157"/>
      <c r="G105" s="157"/>
      <c r="H105" s="157"/>
    </row>
    <row r="106" spans="3:8" ht="14.4" customHeight="1" x14ac:dyDescent="0.3">
      <c r="C106" s="157"/>
      <c r="D106" s="157"/>
      <c r="E106" s="157"/>
      <c r="F106" s="157"/>
      <c r="G106" s="157"/>
      <c r="H106" s="157"/>
    </row>
    <row r="107" spans="3:8" ht="14.4" customHeight="1" x14ac:dyDescent="0.3">
      <c r="C107" s="157"/>
      <c r="D107" s="157"/>
      <c r="E107" s="157"/>
      <c r="F107" s="157"/>
      <c r="G107" s="157"/>
      <c r="H107" s="157"/>
    </row>
    <row r="108" spans="3:8" ht="14.4" customHeight="1" x14ac:dyDescent="0.3">
      <c r="C108" s="157"/>
      <c r="D108" s="157"/>
      <c r="E108" s="157"/>
      <c r="F108" s="157"/>
      <c r="G108" s="157"/>
      <c r="H108" s="157"/>
    </row>
    <row r="109" spans="3:8" ht="14.4" customHeight="1" x14ac:dyDescent="0.3">
      <c r="C109" s="157"/>
      <c r="D109" s="157"/>
      <c r="E109" s="157"/>
      <c r="F109" s="157"/>
      <c r="G109" s="157"/>
      <c r="H109" s="157"/>
    </row>
    <row r="110" spans="3:8" ht="14.4" customHeight="1" x14ac:dyDescent="0.3">
      <c r="C110" s="157"/>
      <c r="D110" s="157"/>
      <c r="E110" s="157"/>
      <c r="F110" s="157"/>
      <c r="G110" s="157"/>
      <c r="H110" s="157"/>
    </row>
    <row r="111" spans="3:8" ht="14.4" customHeight="1" x14ac:dyDescent="0.3">
      <c r="C111" s="157"/>
      <c r="D111" s="157"/>
      <c r="E111" s="157"/>
      <c r="F111" s="157"/>
      <c r="G111" s="157"/>
      <c r="H111" s="157"/>
    </row>
    <row r="112" spans="3:8" ht="14.4" customHeight="1" x14ac:dyDescent="0.3">
      <c r="C112" s="157"/>
      <c r="D112" s="157"/>
      <c r="E112" s="157"/>
      <c r="F112" s="157"/>
      <c r="G112" s="157"/>
      <c r="H112" s="157"/>
    </row>
    <row r="113" spans="3:8" ht="14.4" customHeight="1" x14ac:dyDescent="0.3">
      <c r="C113" s="157"/>
      <c r="D113" s="157"/>
      <c r="E113" s="157"/>
      <c r="F113" s="157"/>
      <c r="G113" s="157"/>
      <c r="H113" s="157"/>
    </row>
    <row r="114" spans="3:8" ht="14.4" customHeight="1" x14ac:dyDescent="0.3">
      <c r="C114" s="157"/>
      <c r="D114" s="157"/>
      <c r="E114" s="157"/>
      <c r="F114" s="157"/>
      <c r="G114" s="157"/>
      <c r="H114" s="157"/>
    </row>
    <row r="115" spans="3:8" ht="14.4" customHeight="1" x14ac:dyDescent="0.3">
      <c r="C115" s="157"/>
      <c r="D115" s="157"/>
      <c r="E115" s="157"/>
      <c r="F115" s="157"/>
      <c r="G115" s="157"/>
      <c r="H115" s="157"/>
    </row>
    <row r="116" spans="3:8" ht="14.4" customHeight="1" x14ac:dyDescent="0.3">
      <c r="C116" s="157"/>
      <c r="D116" s="157"/>
      <c r="E116" s="157"/>
      <c r="F116" s="157"/>
      <c r="G116" s="157"/>
      <c r="H116" s="157"/>
    </row>
    <row r="117" spans="3:8" ht="14.4" customHeight="1" x14ac:dyDescent="0.3">
      <c r="C117" s="157"/>
      <c r="D117" s="157"/>
      <c r="E117" s="157"/>
      <c r="F117" s="157"/>
      <c r="G117" s="157"/>
      <c r="H117" s="157"/>
    </row>
    <row r="118" spans="3:8" ht="14.4" customHeight="1" x14ac:dyDescent="0.3">
      <c r="C118" s="157"/>
      <c r="D118" s="157"/>
      <c r="E118" s="157"/>
      <c r="F118" s="157"/>
      <c r="G118" s="157"/>
      <c r="H118" s="157"/>
    </row>
    <row r="119" spans="3:8" ht="14.4" customHeight="1" x14ac:dyDescent="0.3">
      <c r="C119" s="157"/>
      <c r="D119" s="157"/>
      <c r="E119" s="157"/>
      <c r="F119" s="157"/>
      <c r="G119" s="157"/>
      <c r="H119" s="157"/>
    </row>
    <row r="120" spans="3:8" ht="14.4" customHeight="1" x14ac:dyDescent="0.3">
      <c r="C120" s="157"/>
      <c r="D120" s="157"/>
      <c r="E120" s="157"/>
      <c r="F120" s="157"/>
      <c r="G120" s="157"/>
      <c r="H120" s="157"/>
    </row>
    <row r="121" spans="3:8" ht="14.4" customHeight="1" x14ac:dyDescent="0.3">
      <c r="C121" s="157"/>
      <c r="D121" s="157"/>
      <c r="E121" s="157"/>
      <c r="F121" s="157"/>
      <c r="G121" s="157"/>
      <c r="H121" s="157"/>
    </row>
    <row r="122" spans="3:8" ht="14.4" customHeight="1" x14ac:dyDescent="0.3">
      <c r="C122" s="157"/>
      <c r="D122" s="157"/>
      <c r="E122" s="157"/>
      <c r="F122" s="157"/>
      <c r="G122" s="157"/>
      <c r="H122" s="157"/>
    </row>
    <row r="123" spans="3:8" ht="14.4" customHeight="1" x14ac:dyDescent="0.3">
      <c r="C123" s="157"/>
      <c r="D123" s="157"/>
      <c r="E123" s="157"/>
      <c r="F123" s="157"/>
      <c r="G123" s="157"/>
      <c r="H123" s="157"/>
    </row>
    <row r="124" spans="3:8" ht="14.4" customHeight="1" x14ac:dyDescent="0.3">
      <c r="C124" s="157"/>
      <c r="D124" s="157"/>
      <c r="E124" s="157"/>
      <c r="F124" s="157"/>
      <c r="G124" s="157"/>
      <c r="H124" s="157"/>
    </row>
    <row r="125" spans="3:8" ht="14.4" customHeight="1" x14ac:dyDescent="0.3">
      <c r="C125" s="157"/>
      <c r="D125" s="157"/>
      <c r="E125" s="157"/>
      <c r="F125" s="157"/>
      <c r="G125" s="157"/>
      <c r="H125" s="157"/>
    </row>
    <row r="126" spans="3:8" ht="14.4" customHeight="1" x14ac:dyDescent="0.3">
      <c r="C126" s="157"/>
      <c r="D126" s="157"/>
      <c r="E126" s="157"/>
      <c r="F126" s="157"/>
      <c r="G126" s="157"/>
      <c r="H126" s="157"/>
    </row>
    <row r="127" spans="3:8" ht="14.4" customHeight="1" x14ac:dyDescent="0.3">
      <c r="C127" s="157"/>
      <c r="D127" s="157"/>
      <c r="E127" s="157"/>
      <c r="F127" s="157"/>
      <c r="G127" s="157"/>
      <c r="H127" s="157"/>
    </row>
    <row r="128" spans="3:8" ht="14.4" customHeight="1" x14ac:dyDescent="0.3">
      <c r="C128" s="157"/>
      <c r="D128" s="157"/>
      <c r="E128" s="157"/>
      <c r="F128" s="157"/>
      <c r="G128" s="157"/>
      <c r="H128" s="157"/>
    </row>
    <row r="129" spans="3:8" ht="14.4" customHeight="1" x14ac:dyDescent="0.3">
      <c r="C129" s="157"/>
      <c r="D129" s="157"/>
      <c r="E129" s="157"/>
      <c r="F129" s="157"/>
      <c r="G129" s="157"/>
      <c r="H129" s="157"/>
    </row>
    <row r="130" spans="3:8" ht="14.4" customHeight="1" x14ac:dyDescent="0.3">
      <c r="C130" s="157"/>
      <c r="D130" s="157"/>
      <c r="E130" s="157"/>
      <c r="F130" s="157"/>
      <c r="G130" s="157"/>
      <c r="H130" s="157"/>
    </row>
    <row r="131" spans="3:8" ht="14.4" customHeight="1" x14ac:dyDescent="0.3">
      <c r="C131" s="157"/>
      <c r="D131" s="157"/>
      <c r="E131" s="157"/>
      <c r="F131" s="157"/>
      <c r="G131" s="157"/>
      <c r="H131" s="157"/>
    </row>
    <row r="132" spans="3:8" ht="14.4" customHeight="1" x14ac:dyDescent="0.3">
      <c r="C132" s="157"/>
      <c r="D132" s="157"/>
      <c r="E132" s="157"/>
      <c r="F132" s="157"/>
      <c r="G132" s="157"/>
      <c r="H132" s="157"/>
    </row>
    <row r="133" spans="3:8" ht="14.4" customHeight="1" x14ac:dyDescent="0.3">
      <c r="C133" s="157"/>
      <c r="D133" s="157"/>
      <c r="E133" s="157"/>
      <c r="F133" s="157"/>
      <c r="G133" s="157"/>
      <c r="H133" s="157"/>
    </row>
    <row r="134" spans="3:8" ht="14.4" customHeight="1" x14ac:dyDescent="0.3">
      <c r="C134" s="157"/>
      <c r="D134" s="157"/>
      <c r="E134" s="157"/>
      <c r="F134" s="157"/>
      <c r="G134" s="157"/>
      <c r="H134" s="157"/>
    </row>
    <row r="135" spans="3:8" ht="14.4" customHeight="1" x14ac:dyDescent="0.3">
      <c r="C135" s="157"/>
      <c r="D135" s="157"/>
      <c r="E135" s="157"/>
      <c r="F135" s="157"/>
      <c r="G135" s="157"/>
      <c r="H135" s="157"/>
    </row>
    <row r="136" spans="3:8" ht="14.4" customHeight="1" x14ac:dyDescent="0.3">
      <c r="C136" s="157"/>
      <c r="D136" s="157"/>
      <c r="E136" s="157"/>
      <c r="F136" s="157"/>
      <c r="G136" s="157"/>
      <c r="H136" s="157"/>
    </row>
    <row r="137" spans="3:8" ht="14.4" customHeight="1" x14ac:dyDescent="0.3">
      <c r="C137" s="157"/>
      <c r="D137" s="157"/>
      <c r="E137" s="157"/>
      <c r="F137" s="157"/>
      <c r="G137" s="157"/>
      <c r="H137" s="157"/>
    </row>
    <row r="138" spans="3:8" ht="14.4" customHeight="1" x14ac:dyDescent="0.3">
      <c r="C138" s="157"/>
      <c r="D138" s="157"/>
      <c r="E138" s="157"/>
      <c r="F138" s="157"/>
      <c r="G138" s="157"/>
      <c r="H138" s="157"/>
    </row>
    <row r="139" spans="3:8" ht="14.4" customHeight="1" x14ac:dyDescent="0.3">
      <c r="C139" s="157"/>
      <c r="D139" s="157"/>
      <c r="E139" s="157"/>
      <c r="F139" s="157"/>
      <c r="G139" s="157"/>
      <c r="H139" s="157"/>
    </row>
    <row r="140" spans="3:8" ht="14.4" customHeight="1" x14ac:dyDescent="0.3">
      <c r="C140" s="157"/>
      <c r="D140" s="157"/>
      <c r="E140" s="157"/>
      <c r="F140" s="157"/>
      <c r="G140" s="157"/>
      <c r="H140" s="157"/>
    </row>
    <row r="141" spans="3:8" ht="14.4" customHeight="1" x14ac:dyDescent="0.3">
      <c r="C141" s="157"/>
      <c r="D141" s="157"/>
      <c r="E141" s="157"/>
      <c r="F141" s="157"/>
      <c r="G141" s="157"/>
      <c r="H141" s="157"/>
    </row>
    <row r="142" spans="3:8" ht="14.4" customHeight="1" x14ac:dyDescent="0.3">
      <c r="C142" s="157"/>
      <c r="D142" s="157"/>
      <c r="E142" s="157"/>
      <c r="F142" s="157"/>
      <c r="G142" s="157"/>
      <c r="H142" s="157"/>
    </row>
    <row r="143" spans="3:8" ht="14.4" customHeight="1" x14ac:dyDescent="0.3">
      <c r="C143" s="157"/>
      <c r="D143" s="157"/>
      <c r="E143" s="157"/>
      <c r="F143" s="157"/>
      <c r="G143" s="157"/>
      <c r="H143" s="157"/>
    </row>
    <row r="144" spans="3:8" ht="14.4" customHeight="1" x14ac:dyDescent="0.3">
      <c r="C144" s="157"/>
      <c r="D144" s="157"/>
      <c r="E144" s="157"/>
      <c r="F144" s="157"/>
      <c r="G144" s="157"/>
      <c r="H144" s="157"/>
    </row>
    <row r="145" spans="3:8" ht="14.4" customHeight="1" x14ac:dyDescent="0.3">
      <c r="C145" s="157"/>
      <c r="D145" s="157"/>
      <c r="E145" s="157"/>
      <c r="F145" s="157"/>
      <c r="G145" s="157"/>
      <c r="H145" s="157"/>
    </row>
    <row r="146" spans="3:8" ht="14.4" customHeight="1" x14ac:dyDescent="0.3">
      <c r="C146" s="157"/>
      <c r="D146" s="157"/>
      <c r="E146" s="157"/>
      <c r="F146" s="157"/>
      <c r="G146" s="157"/>
      <c r="H146" s="157"/>
    </row>
    <row r="147" spans="3:8" ht="14.4" customHeight="1" x14ac:dyDescent="0.3">
      <c r="C147" s="157"/>
      <c r="D147" s="157"/>
      <c r="E147" s="157"/>
      <c r="F147" s="157"/>
      <c r="G147" s="157"/>
      <c r="H147" s="157"/>
    </row>
    <row r="148" spans="3:8" ht="14.4" customHeight="1" x14ac:dyDescent="0.3">
      <c r="C148" s="157"/>
      <c r="D148" s="157"/>
      <c r="E148" s="157"/>
      <c r="F148" s="157"/>
      <c r="G148" s="157"/>
      <c r="H148" s="157"/>
    </row>
  </sheetData>
  <mergeCells count="4">
    <mergeCell ref="C2:H8"/>
    <mergeCell ref="F45:H45"/>
    <mergeCell ref="C46:H148"/>
    <mergeCell ref="B1:H1"/>
  </mergeCells>
  <dataValidations count="2">
    <dataValidation type="list" allowBlank="1" showInputMessage="1" showErrorMessage="1" sqref="H10:H44" xr:uid="{00000000-0002-0000-0600-000000000000}">
      <formula1>"Espèce,Chèque"</formula1>
    </dataValidation>
    <dataValidation type="list" allowBlank="1" showInputMessage="1" showErrorMessage="1" sqref="D10:D44" xr:uid="{00000000-0002-0000-0600-000001000000}">
      <formula1>"⛽ CARBURANT,🛠️ ENTRETIEN,🔧 REPARATION,🛣️ FRAIS DE ROUTE,💰 SALAIRE,🏅 PRIME,⚙️ AUTRES"</formula1>
    </dataValidation>
  </dataValidations>
  <hyperlinks>
    <hyperlink ref="A2" location="'ACCUEIL'!A1" display="🏠 ACCUEIL" xr:uid="{00000000-0004-0000-0600-000000000000}"/>
    <hyperlink ref="A4" location="'DASHBOARD'!A1" display="📊 DASHBOARD" xr:uid="{00000000-0004-0000-0600-000001000000}"/>
    <hyperlink ref="A5" location="'SUPER-COMPARATIF'!A1" display="🏆 COMPARATIF" xr:uid="{00000000-0004-0000-0600-000002000000}"/>
    <hyperlink ref="A6" location="'CAMION 1'!A1" display="🚚 CAMION 1" xr:uid="{00000000-0004-0000-0600-000003000000}"/>
    <hyperlink ref="A7" location="'CAMION 2'!A1" display="🚚 CAMION 2" xr:uid="{00000000-0004-0000-0600-000004000000}"/>
    <hyperlink ref="A8" location="'CAMION 3'!A1" display="🚚 CAMION 3" xr:uid="{00000000-0004-0000-0600-000005000000}"/>
    <hyperlink ref="A9" location="'CAMION 4'!A1" display="🚚 CAMION 4" xr:uid="{00000000-0004-0000-0600-000006000000}"/>
    <hyperlink ref="A10" location="'CAMION 5'!A1" display="🚚 CAMION 5" xr:uid="{00000000-0004-0000-0600-000007000000}"/>
    <hyperlink ref="A11" location="'CAMION 5'!A1" display="  🚚 CAMION 5" xr:uid="{00000000-0004-0000-06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0118-CFDC-F1F3-A648-5DA0EC1C65CB}">
  <sheetPr codeName="Feuil8">
    <tabColor theme="2" tint="-0.499984740745262"/>
  </sheetPr>
  <dimension ref="A1:I266"/>
  <sheetViews>
    <sheetView showGridLines="0" workbookViewId="0">
      <selection activeCell="D10" sqref="D10:D44"/>
    </sheetView>
  </sheetViews>
  <sheetFormatPr baseColWidth="10" defaultColWidth="8.88671875" defaultRowHeight="14.4" customHeight="1" x14ac:dyDescent="0.3"/>
  <cols>
    <col min="1" max="1" width="25.6640625" style="11" customWidth="1"/>
    <col min="2" max="2" width="2.6640625" style="10" customWidth="1"/>
    <col min="3" max="3" width="16.6640625" style="37" customWidth="1"/>
    <col min="4" max="4" width="23.88671875" customWidth="1"/>
    <col min="5" max="5" width="33.5546875" customWidth="1"/>
    <col min="6" max="6" width="18.33203125" style="38" customWidth="1"/>
    <col min="7" max="7" width="17.5546875" style="38" customWidth="1"/>
    <col min="8" max="8" width="18.6640625" customWidth="1"/>
  </cols>
  <sheetData>
    <row r="1" spans="1:8" s="1" customFormat="1" ht="27.75" customHeight="1" x14ac:dyDescent="0.3">
      <c r="A1" s="42"/>
      <c r="B1" s="161" t="s">
        <v>29</v>
      </c>
      <c r="C1" s="162"/>
      <c r="D1" s="162"/>
      <c r="E1" s="162"/>
      <c r="F1" s="162"/>
      <c r="G1" s="162"/>
      <c r="H1" s="163"/>
    </row>
    <row r="2" spans="1:8" s="1" customFormat="1" ht="21.75" customHeight="1" x14ac:dyDescent="0.3">
      <c r="A2" s="7" t="s">
        <v>9</v>
      </c>
      <c r="B2" s="43"/>
      <c r="C2" s="145" t="s">
        <v>70</v>
      </c>
      <c r="D2" s="145"/>
      <c r="E2" s="145"/>
      <c r="F2" s="145"/>
      <c r="G2" s="145"/>
      <c r="H2" s="145"/>
    </row>
    <row r="3" spans="1:8" s="1" customFormat="1" ht="21.75" customHeight="1" x14ac:dyDescent="0.3">
      <c r="A3" s="42"/>
      <c r="B3" s="43"/>
      <c r="C3" s="145"/>
      <c r="D3" s="145"/>
      <c r="E3" s="145"/>
      <c r="F3" s="145"/>
      <c r="G3" s="145"/>
      <c r="H3" s="145"/>
    </row>
    <row r="4" spans="1:8" s="1" customFormat="1" ht="21.75" customHeight="1" x14ac:dyDescent="0.3">
      <c r="A4" s="27" t="s">
        <v>20</v>
      </c>
      <c r="B4" s="43"/>
      <c r="C4" s="145"/>
      <c r="D4" s="145"/>
      <c r="E4" s="145"/>
      <c r="F4" s="145"/>
      <c r="G4" s="145"/>
      <c r="H4" s="145"/>
    </row>
    <row r="5" spans="1:8" s="1" customFormat="1" ht="21.75" customHeight="1" x14ac:dyDescent="0.3">
      <c r="A5" s="27" t="s">
        <v>22</v>
      </c>
      <c r="B5" s="43"/>
      <c r="C5" s="145"/>
      <c r="D5" s="145"/>
      <c r="E5" s="145"/>
      <c r="F5" s="145"/>
      <c r="G5" s="145"/>
      <c r="H5" s="145"/>
    </row>
    <row r="6" spans="1:8" s="1" customFormat="1" ht="21.75" customHeight="1" x14ac:dyDescent="0.3">
      <c r="A6" s="27" t="s">
        <v>19</v>
      </c>
      <c r="B6" s="43"/>
      <c r="C6" s="145"/>
      <c r="D6" s="145"/>
      <c r="E6" s="145"/>
      <c r="F6" s="145"/>
      <c r="G6" s="145"/>
      <c r="H6" s="145"/>
    </row>
    <row r="7" spans="1:8" s="1" customFormat="1" ht="21.75" customHeight="1" x14ac:dyDescent="0.3">
      <c r="A7" s="27" t="s">
        <v>21</v>
      </c>
      <c r="B7" s="43"/>
      <c r="C7" s="145"/>
      <c r="D7" s="145"/>
      <c r="E7" s="145"/>
      <c r="F7" s="145"/>
      <c r="G7" s="145"/>
      <c r="H7" s="145"/>
    </row>
    <row r="8" spans="1:8" s="1" customFormat="1" ht="21.75" customHeight="1" x14ac:dyDescent="0.3">
      <c r="A8" s="27" t="s">
        <v>23</v>
      </c>
      <c r="B8" s="43"/>
      <c r="C8" s="145"/>
      <c r="D8" s="145"/>
      <c r="E8" s="145"/>
      <c r="F8" s="145"/>
      <c r="G8" s="145"/>
      <c r="H8" s="145"/>
    </row>
    <row r="9" spans="1:8" s="1" customFormat="1" ht="21.75" customHeight="1" x14ac:dyDescent="0.3">
      <c r="A9" s="27" t="s">
        <v>28</v>
      </c>
      <c r="B9" s="43"/>
      <c r="C9" s="29" t="s">
        <v>56</v>
      </c>
      <c r="D9" s="29" t="s">
        <v>57</v>
      </c>
      <c r="E9" s="29" t="s">
        <v>58</v>
      </c>
      <c r="F9" s="29" t="s">
        <v>49</v>
      </c>
      <c r="G9" s="29" t="s">
        <v>50</v>
      </c>
      <c r="H9" s="29" t="s">
        <v>59</v>
      </c>
    </row>
    <row r="10" spans="1:8" s="1" customFormat="1" ht="21.75" customHeight="1" x14ac:dyDescent="0.3">
      <c r="A10" s="27" t="s">
        <v>29</v>
      </c>
      <c r="B10" s="43"/>
      <c r="C10" s="30"/>
      <c r="D10" s="31"/>
      <c r="E10" s="31"/>
      <c r="F10" s="32"/>
      <c r="G10" s="32"/>
      <c r="H10" s="51"/>
    </row>
    <row r="11" spans="1:8" s="1" customFormat="1" ht="21.75" customHeight="1" x14ac:dyDescent="0.3">
      <c r="A11" s="52" t="s">
        <v>30</v>
      </c>
      <c r="B11" s="43"/>
      <c r="C11" s="30"/>
      <c r="D11" s="31"/>
      <c r="E11" s="31"/>
      <c r="F11" s="32"/>
      <c r="G11" s="32"/>
      <c r="H11" s="51"/>
    </row>
    <row r="12" spans="1:8" s="1" customFormat="1" ht="21.75" customHeight="1" x14ac:dyDescent="0.3">
      <c r="A12" s="42"/>
      <c r="B12" s="43"/>
      <c r="C12" s="30"/>
      <c r="D12" s="31"/>
      <c r="E12" s="31"/>
      <c r="F12" s="32"/>
      <c r="G12" s="32"/>
      <c r="H12" s="51"/>
    </row>
    <row r="13" spans="1:8" s="1" customFormat="1" ht="21.75" customHeight="1" x14ac:dyDescent="0.3">
      <c r="A13" s="42"/>
      <c r="B13" s="43"/>
      <c r="C13" s="30"/>
      <c r="D13" s="31"/>
      <c r="E13" s="31"/>
      <c r="F13" s="32"/>
      <c r="G13" s="32"/>
      <c r="H13" s="51"/>
    </row>
    <row r="14" spans="1:8" s="1" customFormat="1" ht="21.75" customHeight="1" x14ac:dyDescent="0.3">
      <c r="A14" s="42"/>
      <c r="B14" s="43"/>
      <c r="C14" s="30"/>
      <c r="D14" s="31"/>
      <c r="E14" s="31"/>
      <c r="F14" s="32"/>
      <c r="G14" s="32"/>
      <c r="H14" s="51"/>
    </row>
    <row r="15" spans="1:8" s="1" customFormat="1" ht="21.75" customHeight="1" x14ac:dyDescent="0.3">
      <c r="A15" s="42"/>
      <c r="B15" s="43"/>
      <c r="C15" s="30"/>
      <c r="D15" s="31"/>
      <c r="E15" s="31"/>
      <c r="F15" s="32"/>
      <c r="G15" s="32"/>
      <c r="H15" s="51"/>
    </row>
    <row r="16" spans="1:8" s="1" customFormat="1" ht="21.75" customHeight="1" x14ac:dyDescent="0.3">
      <c r="A16" s="42"/>
      <c r="B16" s="43"/>
      <c r="C16" s="30"/>
      <c r="D16" s="31"/>
      <c r="E16" s="31"/>
      <c r="F16" s="32"/>
      <c r="G16" s="32"/>
      <c r="H16" s="51"/>
    </row>
    <row r="17" spans="1:8" s="1" customFormat="1" ht="21.75" customHeight="1" x14ac:dyDescent="0.3">
      <c r="A17" s="42"/>
      <c r="B17" s="43"/>
      <c r="C17" s="30"/>
      <c r="D17" s="31"/>
      <c r="E17" s="31"/>
      <c r="F17" s="32"/>
      <c r="G17" s="32"/>
      <c r="H17" s="51"/>
    </row>
    <row r="18" spans="1:8" s="1" customFormat="1" ht="21.75" customHeight="1" x14ac:dyDescent="0.3">
      <c r="A18" s="42"/>
      <c r="B18" s="43"/>
      <c r="C18" s="30"/>
      <c r="D18" s="31"/>
      <c r="E18" s="31"/>
      <c r="F18" s="32"/>
      <c r="G18" s="32"/>
      <c r="H18" s="51"/>
    </row>
    <row r="19" spans="1:8" s="1" customFormat="1" ht="21.75" customHeight="1" x14ac:dyDescent="0.3">
      <c r="A19" s="42"/>
      <c r="B19" s="43"/>
      <c r="C19" s="30"/>
      <c r="D19" s="31"/>
      <c r="E19" s="31"/>
      <c r="F19" s="32"/>
      <c r="G19" s="32"/>
      <c r="H19" s="51"/>
    </row>
    <row r="20" spans="1:8" s="1" customFormat="1" ht="21.75" customHeight="1" x14ac:dyDescent="0.3">
      <c r="A20" s="42"/>
      <c r="B20" s="43"/>
      <c r="C20" s="30"/>
      <c r="D20" s="31"/>
      <c r="E20" s="31"/>
      <c r="F20" s="32"/>
      <c r="G20" s="32"/>
      <c r="H20" s="51"/>
    </row>
    <row r="21" spans="1:8" s="1" customFormat="1" ht="21.75" customHeight="1" x14ac:dyDescent="0.3">
      <c r="A21" s="42"/>
      <c r="B21" s="43"/>
      <c r="C21" s="30"/>
      <c r="D21" s="31"/>
      <c r="E21" s="31"/>
      <c r="F21" s="32"/>
      <c r="G21" s="32"/>
      <c r="H21" s="51"/>
    </row>
    <row r="22" spans="1:8" s="1" customFormat="1" ht="21.75" customHeight="1" x14ac:dyDescent="0.3">
      <c r="A22" s="42"/>
      <c r="B22" s="43"/>
      <c r="C22" s="30"/>
      <c r="D22" s="31"/>
      <c r="E22" s="31"/>
      <c r="F22" s="32"/>
      <c r="G22" s="32"/>
      <c r="H22" s="51"/>
    </row>
    <row r="23" spans="1:8" s="1" customFormat="1" ht="21.75" customHeight="1" x14ac:dyDescent="0.3">
      <c r="A23" s="42"/>
      <c r="B23" s="43"/>
      <c r="C23" s="30"/>
      <c r="D23" s="31"/>
      <c r="E23" s="31"/>
      <c r="F23" s="32"/>
      <c r="G23" s="32"/>
      <c r="H23" s="51"/>
    </row>
    <row r="24" spans="1:8" s="1" customFormat="1" ht="21.75" customHeight="1" x14ac:dyDescent="0.3">
      <c r="A24" s="42"/>
      <c r="B24" s="43"/>
      <c r="C24" s="30"/>
      <c r="D24" s="31"/>
      <c r="E24" s="31"/>
      <c r="F24" s="32"/>
      <c r="G24" s="32"/>
      <c r="H24" s="51"/>
    </row>
    <row r="25" spans="1:8" s="1" customFormat="1" ht="21.75" customHeight="1" x14ac:dyDescent="0.3">
      <c r="A25" s="42"/>
      <c r="B25" s="43"/>
      <c r="C25" s="30"/>
      <c r="D25" s="31"/>
      <c r="E25" s="31"/>
      <c r="F25" s="32"/>
      <c r="G25" s="32"/>
      <c r="H25" s="51"/>
    </row>
    <row r="26" spans="1:8" s="1" customFormat="1" ht="21.75" customHeight="1" x14ac:dyDescent="0.3">
      <c r="A26" s="42"/>
      <c r="B26" s="43"/>
      <c r="C26" s="30"/>
      <c r="D26" s="31"/>
      <c r="E26" s="31"/>
      <c r="F26" s="32"/>
      <c r="G26" s="32"/>
      <c r="H26" s="51"/>
    </row>
    <row r="27" spans="1:8" s="1" customFormat="1" ht="21.75" customHeight="1" x14ac:dyDescent="0.3">
      <c r="A27" s="42"/>
      <c r="B27" s="43"/>
      <c r="C27" s="30"/>
      <c r="D27" s="31"/>
      <c r="E27" s="31"/>
      <c r="F27" s="32"/>
      <c r="G27" s="32"/>
      <c r="H27" s="51"/>
    </row>
    <row r="28" spans="1:8" s="1" customFormat="1" ht="21.75" customHeight="1" x14ac:dyDescent="0.3">
      <c r="A28" s="42"/>
      <c r="B28" s="43"/>
      <c r="C28" s="30"/>
      <c r="D28" s="31"/>
      <c r="E28" s="31"/>
      <c r="F28" s="32"/>
      <c r="G28" s="32"/>
      <c r="H28" s="51"/>
    </row>
    <row r="29" spans="1:8" s="1" customFormat="1" ht="21.75" customHeight="1" x14ac:dyDescent="0.3">
      <c r="A29" s="42"/>
      <c r="B29" s="43"/>
      <c r="C29" s="30"/>
      <c r="D29" s="31"/>
      <c r="E29" s="31"/>
      <c r="F29" s="32"/>
      <c r="G29" s="32"/>
      <c r="H29" s="51"/>
    </row>
    <row r="30" spans="1:8" s="1" customFormat="1" ht="21.75" customHeight="1" x14ac:dyDescent="0.3">
      <c r="A30" s="42"/>
      <c r="B30" s="43"/>
      <c r="C30" s="30"/>
      <c r="D30" s="31"/>
      <c r="E30" s="31"/>
      <c r="F30" s="32"/>
      <c r="G30" s="32"/>
      <c r="H30" s="51"/>
    </row>
    <row r="31" spans="1:8" s="1" customFormat="1" ht="21.75" customHeight="1" x14ac:dyDescent="0.3">
      <c r="A31" s="42"/>
      <c r="B31" s="43"/>
      <c r="C31" s="30"/>
      <c r="D31" s="31"/>
      <c r="E31" s="31"/>
      <c r="F31" s="32"/>
      <c r="G31" s="32"/>
      <c r="H31" s="51"/>
    </row>
    <row r="32" spans="1:8" s="1" customFormat="1" ht="21.75" customHeight="1" x14ac:dyDescent="0.3">
      <c r="A32" s="42"/>
      <c r="B32" s="43"/>
      <c r="C32" s="30"/>
      <c r="D32" s="31"/>
      <c r="E32" s="31"/>
      <c r="F32" s="32"/>
      <c r="G32" s="32"/>
      <c r="H32" s="51"/>
    </row>
    <row r="33" spans="1:9" s="1" customFormat="1" ht="21.75" customHeight="1" x14ac:dyDescent="0.3">
      <c r="A33" s="42"/>
      <c r="B33" s="43"/>
      <c r="C33" s="30"/>
      <c r="D33" s="31"/>
      <c r="E33" s="31"/>
      <c r="F33" s="32"/>
      <c r="G33" s="32"/>
      <c r="H33" s="51"/>
    </row>
    <row r="34" spans="1:9" s="1" customFormat="1" ht="21.75" customHeight="1" x14ac:dyDescent="0.3">
      <c r="A34" s="42"/>
      <c r="B34" s="43"/>
      <c r="C34" s="30"/>
      <c r="D34" s="31"/>
      <c r="E34" s="31"/>
      <c r="F34" s="32"/>
      <c r="G34" s="32"/>
      <c r="H34" s="51"/>
    </row>
    <row r="35" spans="1:9" s="1" customFormat="1" ht="21.75" customHeight="1" x14ac:dyDescent="0.3">
      <c r="A35" s="42"/>
      <c r="B35" s="43"/>
      <c r="C35" s="30"/>
      <c r="D35" s="31"/>
      <c r="E35" s="31"/>
      <c r="F35" s="32"/>
      <c r="G35" s="32"/>
      <c r="H35" s="51"/>
    </row>
    <row r="36" spans="1:9" s="1" customFormat="1" ht="21.75" customHeight="1" x14ac:dyDescent="0.3">
      <c r="A36" s="42"/>
      <c r="B36" s="43"/>
      <c r="C36" s="30"/>
      <c r="D36" s="31"/>
      <c r="E36" s="31"/>
      <c r="F36" s="32"/>
      <c r="G36" s="32"/>
      <c r="H36" s="51"/>
    </row>
    <row r="37" spans="1:9" s="1" customFormat="1" ht="21.75" customHeight="1" x14ac:dyDescent="0.3">
      <c r="A37" s="42"/>
      <c r="B37" s="43"/>
      <c r="C37" s="30"/>
      <c r="D37" s="31"/>
      <c r="E37" s="31"/>
      <c r="F37" s="32"/>
      <c r="G37" s="32"/>
      <c r="H37" s="51"/>
    </row>
    <row r="38" spans="1:9" s="1" customFormat="1" ht="21.75" customHeight="1" x14ac:dyDescent="0.3">
      <c r="A38" s="42"/>
      <c r="B38" s="43"/>
      <c r="C38" s="30"/>
      <c r="D38" s="31"/>
      <c r="E38" s="31"/>
      <c r="F38" s="32"/>
      <c r="G38" s="32"/>
      <c r="H38" s="51"/>
    </row>
    <row r="39" spans="1:9" s="1" customFormat="1" ht="21.75" customHeight="1" x14ac:dyDescent="0.3">
      <c r="A39" s="42"/>
      <c r="B39" s="43"/>
      <c r="C39" s="30"/>
      <c r="D39" s="31"/>
      <c r="E39" s="31"/>
      <c r="F39" s="32"/>
      <c r="G39" s="32"/>
      <c r="H39" s="51"/>
    </row>
    <row r="40" spans="1:9" s="1" customFormat="1" ht="21.75" customHeight="1" x14ac:dyDescent="0.3">
      <c r="A40" s="42"/>
      <c r="B40" s="43"/>
      <c r="C40" s="30"/>
      <c r="D40" s="31"/>
      <c r="E40" s="31"/>
      <c r="F40" s="32"/>
      <c r="G40" s="32"/>
      <c r="H40" s="51"/>
    </row>
    <row r="41" spans="1:9" s="1" customFormat="1" ht="21.75" customHeight="1" x14ac:dyDescent="0.3">
      <c r="A41" s="42"/>
      <c r="B41" s="43"/>
      <c r="C41" s="30"/>
      <c r="D41" s="31"/>
      <c r="E41" s="31"/>
      <c r="F41" s="32"/>
      <c r="G41" s="32"/>
      <c r="H41" s="51"/>
    </row>
    <row r="42" spans="1:9" s="1" customFormat="1" ht="21.75" customHeight="1" x14ac:dyDescent="0.3">
      <c r="A42" s="42"/>
      <c r="B42" s="43"/>
      <c r="C42" s="30"/>
      <c r="D42" s="31"/>
      <c r="E42" s="31"/>
      <c r="F42" s="32"/>
      <c r="G42" s="32"/>
      <c r="H42" s="51"/>
    </row>
    <row r="43" spans="1:9" s="1" customFormat="1" ht="21.75" customHeight="1" x14ac:dyDescent="0.3">
      <c r="A43" s="42"/>
      <c r="B43" s="43"/>
      <c r="C43" s="30"/>
      <c r="D43" s="31"/>
      <c r="E43" s="31"/>
      <c r="F43" s="32"/>
      <c r="G43" s="32"/>
      <c r="H43" s="51"/>
    </row>
    <row r="44" spans="1:9" s="1" customFormat="1" ht="21.75" customHeight="1" x14ac:dyDescent="0.3">
      <c r="A44" s="42"/>
      <c r="B44" s="43"/>
      <c r="C44" s="30"/>
      <c r="D44" s="31"/>
      <c r="E44" s="31"/>
      <c r="F44" s="32"/>
      <c r="G44" s="32"/>
      <c r="H44" s="51"/>
    </row>
    <row r="45" spans="1:9" s="1" customFormat="1" ht="21.75" customHeight="1" x14ac:dyDescent="0.3">
      <c r="A45" s="42"/>
      <c r="B45" s="43"/>
      <c r="C45" s="53" t="s">
        <v>63</v>
      </c>
      <c r="D45" s="54">
        <f>SUM(F10:F44)</f>
        <v>0</v>
      </c>
      <c r="E45" s="54">
        <f>SUM(G10:G44)</f>
        <v>0</v>
      </c>
      <c r="F45" s="153"/>
      <c r="G45" s="154"/>
      <c r="H45" s="154"/>
    </row>
    <row r="46" spans="1:9" ht="14.4" customHeight="1" x14ac:dyDescent="0.3">
      <c r="C46" s="157"/>
      <c r="D46" s="157"/>
      <c r="E46" s="157"/>
      <c r="F46" s="157"/>
      <c r="G46" s="157"/>
      <c r="H46" s="157"/>
      <c r="I46" s="157"/>
    </row>
    <row r="47" spans="1:9" ht="14.4" customHeight="1" x14ac:dyDescent="0.3">
      <c r="C47" s="157"/>
      <c r="D47" s="157"/>
      <c r="E47" s="157"/>
      <c r="F47" s="157"/>
      <c r="G47" s="157"/>
      <c r="H47" s="157"/>
      <c r="I47" s="157"/>
    </row>
    <row r="48" spans="1:9" ht="14.4" customHeight="1" x14ac:dyDescent="0.3">
      <c r="C48" s="157"/>
      <c r="D48" s="157"/>
      <c r="E48" s="157"/>
      <c r="F48" s="157"/>
      <c r="G48" s="157"/>
      <c r="H48" s="157"/>
      <c r="I48" s="157"/>
    </row>
    <row r="49" spans="3:9" ht="14.4" customHeight="1" x14ac:dyDescent="0.3">
      <c r="C49" s="157"/>
      <c r="D49" s="157"/>
      <c r="E49" s="157"/>
      <c r="F49" s="157"/>
      <c r="G49" s="157"/>
      <c r="H49" s="157"/>
      <c r="I49" s="157"/>
    </row>
    <row r="50" spans="3:9" ht="14.4" customHeight="1" x14ac:dyDescent="0.3">
      <c r="C50" s="157"/>
      <c r="D50" s="157"/>
      <c r="E50" s="157"/>
      <c r="F50" s="157"/>
      <c r="G50" s="157"/>
      <c r="H50" s="157"/>
      <c r="I50" s="157"/>
    </row>
    <row r="51" spans="3:9" ht="14.4" customHeight="1" x14ac:dyDescent="0.3">
      <c r="C51" s="157"/>
      <c r="D51" s="157"/>
      <c r="E51" s="157"/>
      <c r="F51" s="157"/>
      <c r="G51" s="157"/>
      <c r="H51" s="157"/>
      <c r="I51" s="157"/>
    </row>
    <row r="52" spans="3:9" ht="14.4" customHeight="1" x14ac:dyDescent="0.3">
      <c r="C52" s="157"/>
      <c r="D52" s="157"/>
      <c r="E52" s="157"/>
      <c r="F52" s="157"/>
      <c r="G52" s="157"/>
      <c r="H52" s="157"/>
      <c r="I52" s="157"/>
    </row>
    <row r="53" spans="3:9" ht="14.4" customHeight="1" x14ac:dyDescent="0.3">
      <c r="C53" s="157"/>
      <c r="D53" s="157"/>
      <c r="E53" s="157"/>
      <c r="F53" s="157"/>
      <c r="G53" s="157"/>
      <c r="H53" s="157"/>
      <c r="I53" s="157"/>
    </row>
    <row r="54" spans="3:9" ht="14.4" customHeight="1" x14ac:dyDescent="0.3">
      <c r="C54" s="157"/>
      <c r="D54" s="157"/>
      <c r="E54" s="157"/>
      <c r="F54" s="157"/>
      <c r="G54" s="157"/>
      <c r="H54" s="157"/>
      <c r="I54" s="157"/>
    </row>
    <row r="55" spans="3:9" ht="14.4" customHeight="1" x14ac:dyDescent="0.3">
      <c r="C55" s="157"/>
      <c r="D55" s="157"/>
      <c r="E55" s="157"/>
      <c r="F55" s="157"/>
      <c r="G55" s="157"/>
      <c r="H55" s="157"/>
      <c r="I55" s="157"/>
    </row>
    <row r="56" spans="3:9" ht="14.4" customHeight="1" x14ac:dyDescent="0.3">
      <c r="C56" s="157"/>
      <c r="D56" s="157"/>
      <c r="E56" s="157"/>
      <c r="F56" s="157"/>
      <c r="G56" s="157"/>
      <c r="H56" s="157"/>
      <c r="I56" s="157"/>
    </row>
    <row r="57" spans="3:9" ht="14.4" customHeight="1" x14ac:dyDescent="0.3">
      <c r="C57" s="157"/>
      <c r="D57" s="157"/>
      <c r="E57" s="157"/>
      <c r="F57" s="157"/>
      <c r="G57" s="157"/>
      <c r="H57" s="157"/>
      <c r="I57" s="157"/>
    </row>
    <row r="58" spans="3:9" ht="14.4" customHeight="1" x14ac:dyDescent="0.3">
      <c r="C58" s="157"/>
      <c r="D58" s="157"/>
      <c r="E58" s="157"/>
      <c r="F58" s="157"/>
      <c r="G58" s="157"/>
      <c r="H58" s="157"/>
      <c r="I58" s="157"/>
    </row>
    <row r="59" spans="3:9" ht="14.4" customHeight="1" x14ac:dyDescent="0.3">
      <c r="C59" s="157"/>
      <c r="D59" s="157"/>
      <c r="E59" s="157"/>
      <c r="F59" s="157"/>
      <c r="G59" s="157"/>
      <c r="H59" s="157"/>
      <c r="I59" s="157"/>
    </row>
    <row r="60" spans="3:9" ht="14.4" customHeight="1" x14ac:dyDescent="0.3">
      <c r="C60" s="157"/>
      <c r="D60" s="157"/>
      <c r="E60" s="157"/>
      <c r="F60" s="157"/>
      <c r="G60" s="157"/>
      <c r="H60" s="157"/>
      <c r="I60" s="157"/>
    </row>
    <row r="61" spans="3:9" ht="14.4" customHeight="1" x14ac:dyDescent="0.3">
      <c r="C61" s="157"/>
      <c r="D61" s="157"/>
      <c r="E61" s="157"/>
      <c r="F61" s="157"/>
      <c r="G61" s="157"/>
      <c r="H61" s="157"/>
      <c r="I61" s="157"/>
    </row>
    <row r="62" spans="3:9" ht="14.4" customHeight="1" x14ac:dyDescent="0.3">
      <c r="C62" s="157"/>
      <c r="D62" s="157"/>
      <c r="E62" s="157"/>
      <c r="F62" s="157"/>
      <c r="G62" s="157"/>
      <c r="H62" s="157"/>
      <c r="I62" s="157"/>
    </row>
    <row r="63" spans="3:9" ht="14.4" customHeight="1" x14ac:dyDescent="0.3">
      <c r="C63" s="157"/>
      <c r="D63" s="157"/>
      <c r="E63" s="157"/>
      <c r="F63" s="157"/>
      <c r="G63" s="157"/>
      <c r="H63" s="157"/>
      <c r="I63" s="157"/>
    </row>
    <row r="64" spans="3:9" ht="14.4" customHeight="1" x14ac:dyDescent="0.3">
      <c r="C64" s="157"/>
      <c r="D64" s="157"/>
      <c r="E64" s="157"/>
      <c r="F64" s="157"/>
      <c r="G64" s="157"/>
      <c r="H64" s="157"/>
      <c r="I64" s="157"/>
    </row>
    <row r="65" spans="3:9" ht="14.4" customHeight="1" x14ac:dyDescent="0.3">
      <c r="C65" s="157"/>
      <c r="D65" s="157"/>
      <c r="E65" s="157"/>
      <c r="F65" s="157"/>
      <c r="G65" s="157"/>
      <c r="H65" s="157"/>
      <c r="I65" s="157"/>
    </row>
    <row r="66" spans="3:9" ht="14.4" customHeight="1" x14ac:dyDescent="0.3">
      <c r="C66" s="157"/>
      <c r="D66" s="157"/>
      <c r="E66" s="157"/>
      <c r="F66" s="157"/>
      <c r="G66" s="157"/>
      <c r="H66" s="157"/>
      <c r="I66" s="157"/>
    </row>
    <row r="67" spans="3:9" ht="14.4" customHeight="1" x14ac:dyDescent="0.3">
      <c r="C67" s="157"/>
      <c r="D67" s="157"/>
      <c r="E67" s="157"/>
      <c r="F67" s="157"/>
      <c r="G67" s="157"/>
      <c r="H67" s="157"/>
      <c r="I67" s="157"/>
    </row>
    <row r="68" spans="3:9" ht="14.4" customHeight="1" x14ac:dyDescent="0.3">
      <c r="C68" s="157"/>
      <c r="D68" s="157"/>
      <c r="E68" s="157"/>
      <c r="F68" s="157"/>
      <c r="G68" s="157"/>
      <c r="H68" s="157"/>
      <c r="I68" s="157"/>
    </row>
    <row r="69" spans="3:9" ht="14.4" customHeight="1" x14ac:dyDescent="0.3">
      <c r="C69" s="157"/>
      <c r="D69" s="157"/>
      <c r="E69" s="157"/>
      <c r="F69" s="157"/>
      <c r="G69" s="157"/>
      <c r="H69" s="157"/>
      <c r="I69" s="157"/>
    </row>
    <row r="70" spans="3:9" ht="14.4" customHeight="1" x14ac:dyDescent="0.3">
      <c r="C70" s="157"/>
      <c r="D70" s="157"/>
      <c r="E70" s="157"/>
      <c r="F70" s="157"/>
      <c r="G70" s="157"/>
      <c r="H70" s="157"/>
      <c r="I70" s="157"/>
    </row>
    <row r="71" spans="3:9" ht="14.4" customHeight="1" x14ac:dyDescent="0.3">
      <c r="C71" s="157"/>
      <c r="D71" s="157"/>
      <c r="E71" s="157"/>
      <c r="F71" s="157"/>
      <c r="G71" s="157"/>
      <c r="H71" s="157"/>
      <c r="I71" s="157"/>
    </row>
    <row r="72" spans="3:9" ht="14.4" customHeight="1" x14ac:dyDescent="0.3">
      <c r="C72" s="157"/>
      <c r="D72" s="157"/>
      <c r="E72" s="157"/>
      <c r="F72" s="157"/>
      <c r="G72" s="157"/>
      <c r="H72" s="157"/>
      <c r="I72" s="157"/>
    </row>
    <row r="73" spans="3:9" ht="14.4" customHeight="1" x14ac:dyDescent="0.3">
      <c r="C73" s="157"/>
      <c r="D73" s="157"/>
      <c r="E73" s="157"/>
      <c r="F73" s="157"/>
      <c r="G73" s="157"/>
      <c r="H73" s="157"/>
      <c r="I73" s="157"/>
    </row>
    <row r="74" spans="3:9" ht="14.4" customHeight="1" x14ac:dyDescent="0.3">
      <c r="C74" s="157"/>
      <c r="D74" s="157"/>
      <c r="E74" s="157"/>
      <c r="F74" s="157"/>
      <c r="G74" s="157"/>
      <c r="H74" s="157"/>
      <c r="I74" s="157"/>
    </row>
    <row r="75" spans="3:9" ht="14.4" customHeight="1" x14ac:dyDescent="0.3">
      <c r="C75" s="157"/>
      <c r="D75" s="157"/>
      <c r="E75" s="157"/>
      <c r="F75" s="157"/>
      <c r="G75" s="157"/>
      <c r="H75" s="157"/>
      <c r="I75" s="157"/>
    </row>
    <row r="76" spans="3:9" ht="14.4" customHeight="1" x14ac:dyDescent="0.3">
      <c r="C76" s="157"/>
      <c r="D76" s="157"/>
      <c r="E76" s="157"/>
      <c r="F76" s="157"/>
      <c r="G76" s="157"/>
      <c r="H76" s="157"/>
      <c r="I76" s="157"/>
    </row>
    <row r="77" spans="3:9" ht="14.4" customHeight="1" x14ac:dyDescent="0.3">
      <c r="C77" s="157"/>
      <c r="D77" s="157"/>
      <c r="E77" s="157"/>
      <c r="F77" s="157"/>
      <c r="G77" s="157"/>
      <c r="H77" s="157"/>
      <c r="I77" s="157"/>
    </row>
    <row r="78" spans="3:9" ht="14.4" customHeight="1" x14ac:dyDescent="0.3">
      <c r="C78" s="157"/>
      <c r="D78" s="157"/>
      <c r="E78" s="157"/>
      <c r="F78" s="157"/>
      <c r="G78" s="157"/>
      <c r="H78" s="157"/>
      <c r="I78" s="157"/>
    </row>
    <row r="79" spans="3:9" ht="14.4" customHeight="1" x14ac:dyDescent="0.3">
      <c r="C79" s="157"/>
      <c r="D79" s="157"/>
      <c r="E79" s="157"/>
      <c r="F79" s="157"/>
      <c r="G79" s="157"/>
      <c r="H79" s="157"/>
      <c r="I79" s="157"/>
    </row>
    <row r="80" spans="3:9" ht="14.4" customHeight="1" x14ac:dyDescent="0.3">
      <c r="C80" s="157"/>
      <c r="D80" s="157"/>
      <c r="E80" s="157"/>
      <c r="F80" s="157"/>
      <c r="G80" s="157"/>
      <c r="H80" s="157"/>
      <c r="I80" s="157"/>
    </row>
    <row r="81" spans="3:9" ht="14.4" customHeight="1" x14ac:dyDescent="0.3">
      <c r="C81" s="157"/>
      <c r="D81" s="157"/>
      <c r="E81" s="157"/>
      <c r="F81" s="157"/>
      <c r="G81" s="157"/>
      <c r="H81" s="157"/>
      <c r="I81" s="157"/>
    </row>
    <row r="82" spans="3:9" ht="14.4" customHeight="1" x14ac:dyDescent="0.3">
      <c r="C82" s="157"/>
      <c r="D82" s="157"/>
      <c r="E82" s="157"/>
      <c r="F82" s="157"/>
      <c r="G82" s="157"/>
      <c r="H82" s="157"/>
      <c r="I82" s="157"/>
    </row>
    <row r="83" spans="3:9" ht="14.4" customHeight="1" x14ac:dyDescent="0.3">
      <c r="C83" s="157"/>
      <c r="D83" s="157"/>
      <c r="E83" s="157"/>
      <c r="F83" s="157"/>
      <c r="G83" s="157"/>
      <c r="H83" s="157"/>
      <c r="I83" s="157"/>
    </row>
    <row r="84" spans="3:9" ht="14.4" customHeight="1" x14ac:dyDescent="0.3">
      <c r="C84" s="157"/>
      <c r="D84" s="157"/>
      <c r="E84" s="157"/>
      <c r="F84" s="157"/>
      <c r="G84" s="157"/>
      <c r="H84" s="157"/>
      <c r="I84" s="157"/>
    </row>
    <row r="85" spans="3:9" ht="14.4" customHeight="1" x14ac:dyDescent="0.3">
      <c r="C85" s="157"/>
      <c r="D85" s="157"/>
      <c r="E85" s="157"/>
      <c r="F85" s="157"/>
      <c r="G85" s="157"/>
      <c r="H85" s="157"/>
      <c r="I85" s="157"/>
    </row>
    <row r="86" spans="3:9" ht="14.4" customHeight="1" x14ac:dyDescent="0.3">
      <c r="C86" s="157"/>
      <c r="D86" s="157"/>
      <c r="E86" s="157"/>
      <c r="F86" s="157"/>
      <c r="G86" s="157"/>
      <c r="H86" s="157"/>
      <c r="I86" s="157"/>
    </row>
    <row r="87" spans="3:9" ht="14.4" customHeight="1" x14ac:dyDescent="0.3">
      <c r="C87" s="157"/>
      <c r="D87" s="157"/>
      <c r="E87" s="157"/>
      <c r="F87" s="157"/>
      <c r="G87" s="157"/>
      <c r="H87" s="157"/>
      <c r="I87" s="157"/>
    </row>
    <row r="88" spans="3:9" ht="14.4" customHeight="1" x14ac:dyDescent="0.3">
      <c r="C88" s="157"/>
      <c r="D88" s="157"/>
      <c r="E88" s="157"/>
      <c r="F88" s="157"/>
      <c r="G88" s="157"/>
      <c r="H88" s="157"/>
      <c r="I88" s="157"/>
    </row>
    <row r="89" spans="3:9" ht="14.4" customHeight="1" x14ac:dyDescent="0.3">
      <c r="C89" s="157"/>
      <c r="D89" s="157"/>
      <c r="E89" s="157"/>
      <c r="F89" s="157"/>
      <c r="G89" s="157"/>
      <c r="H89" s="157"/>
      <c r="I89" s="157"/>
    </row>
    <row r="90" spans="3:9" ht="14.4" customHeight="1" x14ac:dyDescent="0.3">
      <c r="C90" s="157"/>
      <c r="D90" s="157"/>
      <c r="E90" s="157"/>
      <c r="F90" s="157"/>
      <c r="G90" s="157"/>
      <c r="H90" s="157"/>
      <c r="I90" s="157"/>
    </row>
    <row r="91" spans="3:9" ht="14.4" customHeight="1" x14ac:dyDescent="0.3">
      <c r="C91" s="157"/>
      <c r="D91" s="157"/>
      <c r="E91" s="157"/>
      <c r="F91" s="157"/>
      <c r="G91" s="157"/>
      <c r="H91" s="157"/>
      <c r="I91" s="157"/>
    </row>
    <row r="92" spans="3:9" ht="14.4" customHeight="1" x14ac:dyDescent="0.3">
      <c r="C92" s="157"/>
      <c r="D92" s="157"/>
      <c r="E92" s="157"/>
      <c r="F92" s="157"/>
      <c r="G92" s="157"/>
      <c r="H92" s="157"/>
      <c r="I92" s="157"/>
    </row>
    <row r="93" spans="3:9" ht="14.4" customHeight="1" x14ac:dyDescent="0.3">
      <c r="C93" s="157"/>
      <c r="D93" s="157"/>
      <c r="E93" s="157"/>
      <c r="F93" s="157"/>
      <c r="G93" s="157"/>
      <c r="H93" s="157"/>
      <c r="I93" s="157"/>
    </row>
    <row r="94" spans="3:9" ht="14.4" customHeight="1" x14ac:dyDescent="0.3">
      <c r="C94" s="157"/>
      <c r="D94" s="157"/>
      <c r="E94" s="157"/>
      <c r="F94" s="157"/>
      <c r="G94" s="157"/>
      <c r="H94" s="157"/>
      <c r="I94" s="157"/>
    </row>
    <row r="95" spans="3:9" ht="14.4" customHeight="1" x14ac:dyDescent="0.3">
      <c r="C95" s="157"/>
      <c r="D95" s="157"/>
      <c r="E95" s="157"/>
      <c r="F95" s="157"/>
      <c r="G95" s="157"/>
      <c r="H95" s="157"/>
      <c r="I95" s="157"/>
    </row>
    <row r="96" spans="3:9" ht="14.4" customHeight="1" x14ac:dyDescent="0.3">
      <c r="C96" s="157"/>
      <c r="D96" s="157"/>
      <c r="E96" s="157"/>
      <c r="F96" s="157"/>
      <c r="G96" s="157"/>
      <c r="H96" s="157"/>
      <c r="I96" s="157"/>
    </row>
    <row r="97" spans="3:9" ht="14.4" customHeight="1" x14ac:dyDescent="0.3">
      <c r="C97" s="157"/>
      <c r="D97" s="157"/>
      <c r="E97" s="157"/>
      <c r="F97" s="157"/>
      <c r="G97" s="157"/>
      <c r="H97" s="157"/>
      <c r="I97" s="157"/>
    </row>
    <row r="98" spans="3:9" ht="14.4" customHeight="1" x14ac:dyDescent="0.3">
      <c r="C98" s="157"/>
      <c r="D98" s="157"/>
      <c r="E98" s="157"/>
      <c r="F98" s="157"/>
      <c r="G98" s="157"/>
      <c r="H98" s="157"/>
      <c r="I98" s="157"/>
    </row>
    <row r="99" spans="3:9" ht="14.4" customHeight="1" x14ac:dyDescent="0.3">
      <c r="C99" s="157"/>
      <c r="D99" s="157"/>
      <c r="E99" s="157"/>
      <c r="F99" s="157"/>
      <c r="G99" s="157"/>
      <c r="H99" s="157"/>
      <c r="I99" s="157"/>
    </row>
    <row r="100" spans="3:9" ht="14.4" customHeight="1" x14ac:dyDescent="0.3">
      <c r="C100" s="157"/>
      <c r="D100" s="157"/>
      <c r="E100" s="157"/>
      <c r="F100" s="157"/>
      <c r="G100" s="157"/>
      <c r="H100" s="157"/>
      <c r="I100" s="157"/>
    </row>
    <row r="101" spans="3:9" ht="14.4" customHeight="1" x14ac:dyDescent="0.3">
      <c r="C101" s="157"/>
      <c r="D101" s="157"/>
      <c r="E101" s="157"/>
      <c r="F101" s="157"/>
      <c r="G101" s="157"/>
      <c r="H101" s="157"/>
      <c r="I101" s="157"/>
    </row>
    <row r="102" spans="3:9" ht="14.4" customHeight="1" x14ac:dyDescent="0.3">
      <c r="C102" s="157"/>
      <c r="D102" s="157"/>
      <c r="E102" s="157"/>
      <c r="F102" s="157"/>
      <c r="G102" s="157"/>
      <c r="H102" s="157"/>
      <c r="I102" s="157"/>
    </row>
    <row r="103" spans="3:9" ht="14.4" customHeight="1" x14ac:dyDescent="0.3">
      <c r="C103" s="157"/>
      <c r="D103" s="157"/>
      <c r="E103" s="157"/>
      <c r="F103" s="157"/>
      <c r="G103" s="157"/>
      <c r="H103" s="157"/>
      <c r="I103" s="157"/>
    </row>
    <row r="104" spans="3:9" ht="14.4" customHeight="1" x14ac:dyDescent="0.3">
      <c r="C104" s="157"/>
      <c r="D104" s="157"/>
      <c r="E104" s="157"/>
      <c r="F104" s="157"/>
      <c r="G104" s="157"/>
      <c r="H104" s="157"/>
      <c r="I104" s="157"/>
    </row>
    <row r="105" spans="3:9" ht="14.4" customHeight="1" x14ac:dyDescent="0.3">
      <c r="C105" s="157"/>
      <c r="D105" s="157"/>
      <c r="E105" s="157"/>
      <c r="F105" s="157"/>
      <c r="G105" s="157"/>
      <c r="H105" s="157"/>
      <c r="I105" s="157"/>
    </row>
    <row r="106" spans="3:9" ht="14.4" customHeight="1" x14ac:dyDescent="0.3">
      <c r="C106" s="157"/>
      <c r="D106" s="157"/>
      <c r="E106" s="157"/>
      <c r="F106" s="157"/>
      <c r="G106" s="157"/>
      <c r="H106" s="157"/>
      <c r="I106" s="157"/>
    </row>
    <row r="107" spans="3:9" ht="14.4" customHeight="1" x14ac:dyDescent="0.3">
      <c r="C107" s="157"/>
      <c r="D107" s="157"/>
      <c r="E107" s="157"/>
      <c r="F107" s="157"/>
      <c r="G107" s="157"/>
      <c r="H107" s="157"/>
      <c r="I107" s="157"/>
    </row>
    <row r="108" spans="3:9" ht="14.4" customHeight="1" x14ac:dyDescent="0.3">
      <c r="C108" s="157"/>
      <c r="D108" s="157"/>
      <c r="E108" s="157"/>
      <c r="F108" s="157"/>
      <c r="G108" s="157"/>
      <c r="H108" s="157"/>
      <c r="I108" s="157"/>
    </row>
    <row r="109" spans="3:9" ht="14.4" customHeight="1" x14ac:dyDescent="0.3">
      <c r="C109" s="157"/>
      <c r="D109" s="157"/>
      <c r="E109" s="157"/>
      <c r="F109" s="157"/>
      <c r="G109" s="157"/>
      <c r="H109" s="157"/>
      <c r="I109" s="157"/>
    </row>
    <row r="110" spans="3:9" ht="14.4" customHeight="1" x14ac:dyDescent="0.3">
      <c r="C110" s="157"/>
      <c r="D110" s="157"/>
      <c r="E110" s="157"/>
      <c r="F110" s="157"/>
      <c r="G110" s="157"/>
      <c r="H110" s="157"/>
      <c r="I110" s="157"/>
    </row>
    <row r="111" spans="3:9" ht="14.4" customHeight="1" x14ac:dyDescent="0.3">
      <c r="C111" s="157"/>
      <c r="D111" s="157"/>
      <c r="E111" s="157"/>
      <c r="F111" s="157"/>
      <c r="G111" s="157"/>
      <c r="H111" s="157"/>
      <c r="I111" s="157"/>
    </row>
    <row r="112" spans="3:9" ht="14.4" customHeight="1" x14ac:dyDescent="0.3">
      <c r="C112" s="157"/>
      <c r="D112" s="157"/>
      <c r="E112" s="157"/>
      <c r="F112" s="157"/>
      <c r="G112" s="157"/>
      <c r="H112" s="157"/>
      <c r="I112" s="157"/>
    </row>
    <row r="113" spans="3:9" ht="14.4" customHeight="1" x14ac:dyDescent="0.3">
      <c r="C113" s="157"/>
      <c r="D113" s="157"/>
      <c r="E113" s="157"/>
      <c r="F113" s="157"/>
      <c r="G113" s="157"/>
      <c r="H113" s="157"/>
      <c r="I113" s="157"/>
    </row>
    <row r="114" spans="3:9" ht="14.4" customHeight="1" x14ac:dyDescent="0.3">
      <c r="C114" s="157"/>
      <c r="D114" s="157"/>
      <c r="E114" s="157"/>
      <c r="F114" s="157"/>
      <c r="G114" s="157"/>
      <c r="H114" s="157"/>
      <c r="I114" s="157"/>
    </row>
    <row r="115" spans="3:9" ht="14.4" customHeight="1" x14ac:dyDescent="0.3">
      <c r="C115" s="157"/>
      <c r="D115" s="157"/>
      <c r="E115" s="157"/>
      <c r="F115" s="157"/>
      <c r="G115" s="157"/>
      <c r="H115" s="157"/>
      <c r="I115" s="157"/>
    </row>
    <row r="116" spans="3:9" ht="14.4" customHeight="1" x14ac:dyDescent="0.3">
      <c r="C116" s="157"/>
      <c r="D116" s="157"/>
      <c r="E116" s="157"/>
      <c r="F116" s="157"/>
      <c r="G116" s="157"/>
      <c r="H116" s="157"/>
      <c r="I116" s="157"/>
    </row>
    <row r="117" spans="3:9" ht="14.4" customHeight="1" x14ac:dyDescent="0.3">
      <c r="C117" s="157"/>
      <c r="D117" s="157"/>
      <c r="E117" s="157"/>
      <c r="F117" s="157"/>
      <c r="G117" s="157"/>
      <c r="H117" s="157"/>
      <c r="I117" s="157"/>
    </row>
    <row r="118" spans="3:9" ht="14.4" customHeight="1" x14ac:dyDescent="0.3">
      <c r="C118" s="157"/>
      <c r="D118" s="157"/>
      <c r="E118" s="157"/>
      <c r="F118" s="157"/>
      <c r="G118" s="157"/>
      <c r="H118" s="157"/>
      <c r="I118" s="157"/>
    </row>
    <row r="119" spans="3:9" ht="14.4" customHeight="1" x14ac:dyDescent="0.3">
      <c r="C119" s="157"/>
      <c r="D119" s="157"/>
      <c r="E119" s="157"/>
      <c r="F119" s="157"/>
      <c r="G119" s="157"/>
      <c r="H119" s="157"/>
      <c r="I119" s="157"/>
    </row>
    <row r="120" spans="3:9" ht="14.4" customHeight="1" x14ac:dyDescent="0.3">
      <c r="C120" s="157"/>
      <c r="D120" s="157"/>
      <c r="E120" s="157"/>
      <c r="F120" s="157"/>
      <c r="G120" s="157"/>
      <c r="H120" s="157"/>
      <c r="I120" s="157"/>
    </row>
    <row r="121" spans="3:9" ht="14.4" customHeight="1" x14ac:dyDescent="0.3">
      <c r="C121" s="157"/>
      <c r="D121" s="157"/>
      <c r="E121" s="157"/>
      <c r="F121" s="157"/>
      <c r="G121" s="157"/>
      <c r="H121" s="157"/>
      <c r="I121" s="157"/>
    </row>
    <row r="122" spans="3:9" ht="14.4" customHeight="1" x14ac:dyDescent="0.3">
      <c r="C122" s="157"/>
      <c r="D122" s="157"/>
      <c r="E122" s="157"/>
      <c r="F122" s="157"/>
      <c r="G122" s="157"/>
      <c r="H122" s="157"/>
      <c r="I122" s="157"/>
    </row>
    <row r="123" spans="3:9" ht="14.4" customHeight="1" x14ac:dyDescent="0.3">
      <c r="C123" s="157"/>
      <c r="D123" s="157"/>
      <c r="E123" s="157"/>
      <c r="F123" s="157"/>
      <c r="G123" s="157"/>
      <c r="H123" s="157"/>
      <c r="I123" s="157"/>
    </row>
    <row r="124" spans="3:9" ht="14.4" customHeight="1" x14ac:dyDescent="0.3">
      <c r="C124" s="157"/>
      <c r="D124" s="157"/>
      <c r="E124" s="157"/>
      <c r="F124" s="157"/>
      <c r="G124" s="157"/>
      <c r="H124" s="157"/>
      <c r="I124" s="157"/>
    </row>
    <row r="125" spans="3:9" ht="14.4" customHeight="1" x14ac:dyDescent="0.3">
      <c r="C125" s="157"/>
      <c r="D125" s="157"/>
      <c r="E125" s="157"/>
      <c r="F125" s="157"/>
      <c r="G125" s="157"/>
      <c r="H125" s="157"/>
      <c r="I125" s="157"/>
    </row>
    <row r="126" spans="3:9" ht="14.4" customHeight="1" x14ac:dyDescent="0.3">
      <c r="C126" s="157"/>
      <c r="D126" s="157"/>
      <c r="E126" s="157"/>
      <c r="F126" s="157"/>
      <c r="G126" s="157"/>
      <c r="H126" s="157"/>
      <c r="I126" s="157"/>
    </row>
    <row r="127" spans="3:9" ht="14.4" customHeight="1" x14ac:dyDescent="0.3">
      <c r="C127" s="157"/>
      <c r="D127" s="157"/>
      <c r="E127" s="157"/>
      <c r="F127" s="157"/>
      <c r="G127" s="157"/>
      <c r="H127" s="157"/>
      <c r="I127" s="157"/>
    </row>
    <row r="128" spans="3:9" ht="14.4" customHeight="1" x14ac:dyDescent="0.3">
      <c r="C128" s="157"/>
      <c r="D128" s="157"/>
      <c r="E128" s="157"/>
      <c r="F128" s="157"/>
      <c r="G128" s="157"/>
      <c r="H128" s="157"/>
      <c r="I128" s="157"/>
    </row>
    <row r="129" spans="3:9" ht="14.4" customHeight="1" x14ac:dyDescent="0.3">
      <c r="C129" s="157"/>
      <c r="D129" s="157"/>
      <c r="E129" s="157"/>
      <c r="F129" s="157"/>
      <c r="G129" s="157"/>
      <c r="H129" s="157"/>
      <c r="I129" s="157"/>
    </row>
    <row r="130" spans="3:9" ht="14.4" customHeight="1" x14ac:dyDescent="0.3">
      <c r="C130" s="157"/>
      <c r="D130" s="157"/>
      <c r="E130" s="157"/>
      <c r="F130" s="157"/>
      <c r="G130" s="157"/>
      <c r="H130" s="157"/>
      <c r="I130" s="157"/>
    </row>
    <row r="131" spans="3:9" ht="14.4" customHeight="1" x14ac:dyDescent="0.3">
      <c r="C131" s="157"/>
      <c r="D131" s="157"/>
      <c r="E131" s="157"/>
      <c r="F131" s="157"/>
      <c r="G131" s="157"/>
      <c r="H131" s="157"/>
      <c r="I131" s="157"/>
    </row>
    <row r="132" spans="3:9" ht="14.4" customHeight="1" x14ac:dyDescent="0.3">
      <c r="C132" s="157"/>
      <c r="D132" s="157"/>
      <c r="E132" s="157"/>
      <c r="F132" s="157"/>
      <c r="G132" s="157"/>
      <c r="H132" s="157"/>
      <c r="I132" s="157"/>
    </row>
    <row r="133" spans="3:9" ht="14.4" customHeight="1" x14ac:dyDescent="0.3">
      <c r="C133" s="157"/>
      <c r="D133" s="157"/>
      <c r="E133" s="157"/>
      <c r="F133" s="157"/>
      <c r="G133" s="157"/>
      <c r="H133" s="157"/>
      <c r="I133" s="157"/>
    </row>
    <row r="134" spans="3:9" ht="14.4" customHeight="1" x14ac:dyDescent="0.3">
      <c r="C134" s="157"/>
      <c r="D134" s="157"/>
      <c r="E134" s="157"/>
      <c r="F134" s="157"/>
      <c r="G134" s="157"/>
      <c r="H134" s="157"/>
      <c r="I134" s="157"/>
    </row>
    <row r="135" spans="3:9" ht="14.4" customHeight="1" x14ac:dyDescent="0.3">
      <c r="C135" s="157"/>
      <c r="D135" s="157"/>
      <c r="E135" s="157"/>
      <c r="F135" s="157"/>
      <c r="G135" s="157"/>
      <c r="H135" s="157"/>
      <c r="I135" s="157"/>
    </row>
    <row r="136" spans="3:9" ht="14.4" customHeight="1" x14ac:dyDescent="0.3">
      <c r="C136" s="157"/>
      <c r="D136" s="157"/>
      <c r="E136" s="157"/>
      <c r="F136" s="157"/>
      <c r="G136" s="157"/>
      <c r="H136" s="157"/>
      <c r="I136" s="157"/>
    </row>
    <row r="137" spans="3:9" ht="14.4" customHeight="1" x14ac:dyDescent="0.3">
      <c r="C137" s="157"/>
      <c r="D137" s="157"/>
      <c r="E137" s="157"/>
      <c r="F137" s="157"/>
      <c r="G137" s="157"/>
      <c r="H137" s="157"/>
      <c r="I137" s="157"/>
    </row>
    <row r="138" spans="3:9" ht="14.4" customHeight="1" x14ac:dyDescent="0.3">
      <c r="C138" s="157"/>
      <c r="D138" s="157"/>
      <c r="E138" s="157"/>
      <c r="F138" s="157"/>
      <c r="G138" s="157"/>
      <c r="H138" s="157"/>
      <c r="I138" s="157"/>
    </row>
    <row r="139" spans="3:9" ht="14.4" customHeight="1" x14ac:dyDescent="0.3">
      <c r="C139" s="157"/>
      <c r="D139" s="157"/>
      <c r="E139" s="157"/>
      <c r="F139" s="157"/>
      <c r="G139" s="157"/>
      <c r="H139" s="157"/>
      <c r="I139" s="157"/>
    </row>
    <row r="140" spans="3:9" ht="14.4" customHeight="1" x14ac:dyDescent="0.3">
      <c r="C140" s="157"/>
      <c r="D140" s="157"/>
      <c r="E140" s="157"/>
      <c r="F140" s="157"/>
      <c r="G140" s="157"/>
      <c r="H140" s="157"/>
      <c r="I140" s="157"/>
    </row>
    <row r="141" spans="3:9" ht="14.4" customHeight="1" x14ac:dyDescent="0.3">
      <c r="C141" s="157"/>
      <c r="D141" s="157"/>
      <c r="E141" s="157"/>
      <c r="F141" s="157"/>
      <c r="G141" s="157"/>
      <c r="H141" s="157"/>
      <c r="I141" s="157"/>
    </row>
    <row r="142" spans="3:9" ht="14.4" customHeight="1" x14ac:dyDescent="0.3">
      <c r="C142" s="157"/>
      <c r="D142" s="157"/>
      <c r="E142" s="157"/>
      <c r="F142" s="157"/>
      <c r="G142" s="157"/>
      <c r="H142" s="157"/>
      <c r="I142" s="157"/>
    </row>
    <row r="143" spans="3:9" ht="14.4" customHeight="1" x14ac:dyDescent="0.3">
      <c r="C143" s="157"/>
      <c r="D143" s="157"/>
      <c r="E143" s="157"/>
      <c r="F143" s="157"/>
      <c r="G143" s="157"/>
      <c r="H143" s="157"/>
      <c r="I143" s="157"/>
    </row>
    <row r="144" spans="3:9" ht="14.4" customHeight="1" x14ac:dyDescent="0.3">
      <c r="C144" s="157"/>
      <c r="D144" s="157"/>
      <c r="E144" s="157"/>
      <c r="F144" s="157"/>
      <c r="G144" s="157"/>
      <c r="H144" s="157"/>
      <c r="I144" s="157"/>
    </row>
    <row r="145" spans="3:9" ht="14.4" customHeight="1" x14ac:dyDescent="0.3">
      <c r="C145" s="157"/>
      <c r="D145" s="157"/>
      <c r="E145" s="157"/>
      <c r="F145" s="157"/>
      <c r="G145" s="157"/>
      <c r="H145" s="157"/>
      <c r="I145" s="157"/>
    </row>
    <row r="146" spans="3:9" ht="14.4" customHeight="1" x14ac:dyDescent="0.3">
      <c r="C146" s="157"/>
      <c r="D146" s="157"/>
      <c r="E146" s="157"/>
      <c r="F146" s="157"/>
      <c r="G146" s="157"/>
      <c r="H146" s="157"/>
      <c r="I146" s="157"/>
    </row>
    <row r="147" spans="3:9" ht="14.4" customHeight="1" x14ac:dyDescent="0.3">
      <c r="C147" s="157"/>
      <c r="D147" s="157"/>
      <c r="E147" s="157"/>
      <c r="F147" s="157"/>
      <c r="G147" s="157"/>
      <c r="H147" s="157"/>
      <c r="I147" s="157"/>
    </row>
    <row r="148" spans="3:9" ht="14.4" customHeight="1" x14ac:dyDescent="0.3">
      <c r="C148" s="157"/>
      <c r="D148" s="157"/>
      <c r="E148" s="157"/>
      <c r="F148" s="157"/>
      <c r="G148" s="157"/>
      <c r="H148" s="157"/>
      <c r="I148" s="157"/>
    </row>
    <row r="149" spans="3:9" ht="14.4" customHeight="1" x14ac:dyDescent="0.3">
      <c r="C149" s="157"/>
      <c r="D149" s="157"/>
      <c r="E149" s="157"/>
      <c r="F149" s="157"/>
      <c r="G149" s="157"/>
      <c r="H149" s="157"/>
      <c r="I149" s="157"/>
    </row>
    <row r="150" spans="3:9" ht="14.4" customHeight="1" x14ac:dyDescent="0.3">
      <c r="C150" s="157"/>
      <c r="D150" s="157"/>
      <c r="E150" s="157"/>
      <c r="F150" s="157"/>
      <c r="G150" s="157"/>
      <c r="H150" s="157"/>
      <c r="I150" s="157"/>
    </row>
    <row r="151" spans="3:9" ht="14.4" customHeight="1" x14ac:dyDescent="0.3">
      <c r="C151" s="157"/>
      <c r="D151" s="157"/>
      <c r="E151" s="157"/>
      <c r="F151" s="157"/>
      <c r="G151" s="157"/>
      <c r="H151" s="157"/>
      <c r="I151" s="157"/>
    </row>
    <row r="152" spans="3:9" ht="14.4" customHeight="1" x14ac:dyDescent="0.3">
      <c r="C152" s="157"/>
      <c r="D152" s="157"/>
      <c r="E152" s="157"/>
      <c r="F152" s="157"/>
      <c r="G152" s="157"/>
      <c r="H152" s="157"/>
      <c r="I152" s="157"/>
    </row>
    <row r="153" spans="3:9" ht="14.4" customHeight="1" x14ac:dyDescent="0.3">
      <c r="C153" s="157"/>
      <c r="D153" s="157"/>
      <c r="E153" s="157"/>
      <c r="F153" s="157"/>
      <c r="G153" s="157"/>
      <c r="H153" s="157"/>
      <c r="I153" s="157"/>
    </row>
    <row r="154" spans="3:9" ht="14.4" customHeight="1" x14ac:dyDescent="0.3">
      <c r="C154" s="157"/>
      <c r="D154" s="157"/>
      <c r="E154" s="157"/>
      <c r="F154" s="157"/>
      <c r="G154" s="157"/>
      <c r="H154" s="157"/>
      <c r="I154" s="157"/>
    </row>
    <row r="155" spans="3:9" ht="14.4" customHeight="1" x14ac:dyDescent="0.3">
      <c r="C155" s="157"/>
      <c r="D155" s="157"/>
      <c r="E155" s="157"/>
      <c r="F155" s="157"/>
      <c r="G155" s="157"/>
      <c r="H155" s="157"/>
      <c r="I155" s="157"/>
    </row>
    <row r="156" spans="3:9" ht="14.4" customHeight="1" x14ac:dyDescent="0.3">
      <c r="C156" s="157"/>
      <c r="D156" s="157"/>
      <c r="E156" s="157"/>
      <c r="F156" s="157"/>
      <c r="G156" s="157"/>
      <c r="H156" s="157"/>
      <c r="I156" s="157"/>
    </row>
    <row r="157" spans="3:9" ht="14.4" customHeight="1" x14ac:dyDescent="0.3">
      <c r="C157" s="157"/>
      <c r="D157" s="157"/>
      <c r="E157" s="157"/>
      <c r="F157" s="157"/>
      <c r="G157" s="157"/>
      <c r="H157" s="157"/>
      <c r="I157" s="157"/>
    </row>
    <row r="158" spans="3:9" ht="14.4" customHeight="1" x14ac:dyDescent="0.3">
      <c r="C158" s="157"/>
      <c r="D158" s="157"/>
      <c r="E158" s="157"/>
      <c r="F158" s="157"/>
      <c r="G158" s="157"/>
      <c r="H158" s="157"/>
      <c r="I158" s="157"/>
    </row>
    <row r="159" spans="3:9" ht="14.4" customHeight="1" x14ac:dyDescent="0.3">
      <c r="C159" s="157"/>
      <c r="D159" s="157"/>
      <c r="E159" s="157"/>
      <c r="F159" s="157"/>
      <c r="G159" s="157"/>
      <c r="H159" s="157"/>
      <c r="I159" s="157"/>
    </row>
    <row r="160" spans="3:9" ht="14.4" customHeight="1" x14ac:dyDescent="0.3">
      <c r="C160" s="157"/>
      <c r="D160" s="157"/>
      <c r="E160" s="157"/>
      <c r="F160" s="157"/>
      <c r="G160" s="157"/>
      <c r="H160" s="157"/>
      <c r="I160" s="157"/>
    </row>
    <row r="161" spans="3:9" ht="14.4" customHeight="1" x14ac:dyDescent="0.3">
      <c r="C161" s="157"/>
      <c r="D161" s="157"/>
      <c r="E161" s="157"/>
      <c r="F161" s="157"/>
      <c r="G161" s="157"/>
      <c r="H161" s="157"/>
      <c r="I161" s="157"/>
    </row>
    <row r="162" spans="3:9" ht="14.4" customHeight="1" x14ac:dyDescent="0.3">
      <c r="C162" s="157"/>
      <c r="D162" s="157"/>
      <c r="E162" s="157"/>
      <c r="F162" s="157"/>
      <c r="G162" s="157"/>
      <c r="H162" s="157"/>
      <c r="I162" s="157"/>
    </row>
    <row r="163" spans="3:9" ht="14.4" customHeight="1" x14ac:dyDescent="0.3">
      <c r="C163" s="157"/>
      <c r="D163" s="157"/>
      <c r="E163" s="157"/>
      <c r="F163" s="157"/>
      <c r="G163" s="157"/>
      <c r="H163" s="157"/>
      <c r="I163" s="157"/>
    </row>
    <row r="164" spans="3:9" ht="14.4" customHeight="1" x14ac:dyDescent="0.3">
      <c r="C164" s="157"/>
      <c r="D164" s="157"/>
      <c r="E164" s="157"/>
      <c r="F164" s="157"/>
      <c r="G164" s="157"/>
      <c r="H164" s="157"/>
      <c r="I164" s="157"/>
    </row>
    <row r="165" spans="3:9" ht="14.4" customHeight="1" x14ac:dyDescent="0.3">
      <c r="C165" s="157"/>
      <c r="D165" s="157"/>
      <c r="E165" s="157"/>
      <c r="F165" s="157"/>
      <c r="G165" s="157"/>
      <c r="H165" s="157"/>
      <c r="I165" s="157"/>
    </row>
    <row r="166" spans="3:9" ht="14.4" customHeight="1" x14ac:dyDescent="0.3">
      <c r="C166" s="157"/>
      <c r="D166" s="157"/>
      <c r="E166" s="157"/>
      <c r="F166" s="157"/>
      <c r="G166" s="157"/>
      <c r="H166" s="157"/>
      <c r="I166" s="157"/>
    </row>
    <row r="167" spans="3:9" ht="14.4" customHeight="1" x14ac:dyDescent="0.3">
      <c r="C167" s="157"/>
      <c r="D167" s="157"/>
      <c r="E167" s="157"/>
      <c r="F167" s="157"/>
      <c r="G167" s="157"/>
      <c r="H167" s="157"/>
      <c r="I167" s="157"/>
    </row>
    <row r="168" spans="3:9" ht="14.4" customHeight="1" x14ac:dyDescent="0.3">
      <c r="C168" s="157"/>
      <c r="D168" s="157"/>
      <c r="E168" s="157"/>
      <c r="F168" s="157"/>
      <c r="G168" s="157"/>
      <c r="H168" s="157"/>
      <c r="I168" s="157"/>
    </row>
    <row r="169" spans="3:9" ht="14.4" customHeight="1" x14ac:dyDescent="0.3">
      <c r="C169" s="157"/>
      <c r="D169" s="157"/>
      <c r="E169" s="157"/>
      <c r="F169" s="157"/>
      <c r="G169" s="157"/>
      <c r="H169" s="157"/>
      <c r="I169" s="157"/>
    </row>
    <row r="170" spans="3:9" ht="14.4" customHeight="1" x14ac:dyDescent="0.3">
      <c r="C170" s="157"/>
      <c r="D170" s="157"/>
      <c r="E170" s="157"/>
      <c r="F170" s="157"/>
      <c r="G170" s="157"/>
      <c r="H170" s="157"/>
      <c r="I170" s="157"/>
    </row>
    <row r="171" spans="3:9" ht="14.4" customHeight="1" x14ac:dyDescent="0.3">
      <c r="C171" s="157"/>
      <c r="D171" s="157"/>
      <c r="E171" s="157"/>
      <c r="F171" s="157"/>
      <c r="G171" s="157"/>
      <c r="H171" s="157"/>
      <c r="I171" s="157"/>
    </row>
    <row r="172" spans="3:9" ht="14.4" customHeight="1" x14ac:dyDescent="0.3">
      <c r="C172" s="157"/>
      <c r="D172" s="157"/>
      <c r="E172" s="157"/>
      <c r="F172" s="157"/>
      <c r="G172" s="157"/>
      <c r="H172" s="157"/>
      <c r="I172" s="157"/>
    </row>
    <row r="173" spans="3:9" ht="14.4" customHeight="1" x14ac:dyDescent="0.3">
      <c r="C173" s="157"/>
      <c r="D173" s="157"/>
      <c r="E173" s="157"/>
      <c r="F173" s="157"/>
      <c r="G173" s="157"/>
      <c r="H173" s="157"/>
      <c r="I173" s="157"/>
    </row>
    <row r="174" spans="3:9" ht="14.4" customHeight="1" x14ac:dyDescent="0.3">
      <c r="C174" s="157"/>
      <c r="D174" s="157"/>
      <c r="E174" s="157"/>
      <c r="F174" s="157"/>
      <c r="G174" s="157"/>
      <c r="H174" s="157"/>
      <c r="I174" s="157"/>
    </row>
    <row r="175" spans="3:9" ht="14.4" customHeight="1" x14ac:dyDescent="0.3">
      <c r="C175" s="157"/>
      <c r="D175" s="157"/>
      <c r="E175" s="157"/>
      <c r="F175" s="157"/>
      <c r="G175" s="157"/>
      <c r="H175" s="157"/>
      <c r="I175" s="157"/>
    </row>
    <row r="176" spans="3:9" ht="14.4" customHeight="1" x14ac:dyDescent="0.3">
      <c r="C176" s="157"/>
      <c r="D176" s="157"/>
      <c r="E176" s="157"/>
      <c r="F176" s="157"/>
      <c r="G176" s="157"/>
      <c r="H176" s="157"/>
      <c r="I176" s="157"/>
    </row>
    <row r="177" spans="3:9" ht="14.4" customHeight="1" x14ac:dyDescent="0.3">
      <c r="C177" s="157"/>
      <c r="D177" s="157"/>
      <c r="E177" s="157"/>
      <c r="F177" s="157"/>
      <c r="G177" s="157"/>
      <c r="H177" s="157"/>
      <c r="I177" s="157"/>
    </row>
    <row r="178" spans="3:9" ht="14.4" customHeight="1" x14ac:dyDescent="0.3">
      <c r="C178" s="157"/>
      <c r="D178" s="157"/>
      <c r="E178" s="157"/>
      <c r="F178" s="157"/>
      <c r="G178" s="157"/>
      <c r="H178" s="157"/>
      <c r="I178" s="157"/>
    </row>
    <row r="179" spans="3:9" ht="14.4" customHeight="1" x14ac:dyDescent="0.3">
      <c r="C179" s="157"/>
      <c r="D179" s="157"/>
      <c r="E179" s="157"/>
      <c r="F179" s="157"/>
      <c r="G179" s="157"/>
      <c r="H179" s="157"/>
      <c r="I179" s="157"/>
    </row>
    <row r="180" spans="3:9" ht="14.4" customHeight="1" x14ac:dyDescent="0.3">
      <c r="C180" s="157"/>
      <c r="D180" s="157"/>
      <c r="E180" s="157"/>
      <c r="F180" s="157"/>
      <c r="G180" s="157"/>
      <c r="H180" s="157"/>
      <c r="I180" s="157"/>
    </row>
    <row r="181" spans="3:9" ht="14.4" customHeight="1" x14ac:dyDescent="0.3">
      <c r="C181" s="157"/>
      <c r="D181" s="157"/>
      <c r="E181" s="157"/>
      <c r="F181" s="157"/>
      <c r="G181" s="157"/>
      <c r="H181" s="157"/>
      <c r="I181" s="157"/>
    </row>
    <row r="182" spans="3:9" ht="14.4" customHeight="1" x14ac:dyDescent="0.3">
      <c r="C182" s="157"/>
      <c r="D182" s="157"/>
      <c r="E182" s="157"/>
      <c r="F182" s="157"/>
      <c r="G182" s="157"/>
      <c r="H182" s="157"/>
      <c r="I182" s="157"/>
    </row>
    <row r="183" spans="3:9" ht="14.4" customHeight="1" x14ac:dyDescent="0.3">
      <c r="C183" s="157"/>
      <c r="D183" s="157"/>
      <c r="E183" s="157"/>
      <c r="F183" s="157"/>
      <c r="G183" s="157"/>
      <c r="H183" s="157"/>
      <c r="I183" s="157"/>
    </row>
    <row r="184" spans="3:9" ht="14.4" customHeight="1" x14ac:dyDescent="0.3">
      <c r="C184" s="157"/>
      <c r="D184" s="157"/>
      <c r="E184" s="157"/>
      <c r="F184" s="157"/>
      <c r="G184" s="157"/>
      <c r="H184" s="157"/>
      <c r="I184" s="157"/>
    </row>
    <row r="185" spans="3:9" ht="14.4" customHeight="1" x14ac:dyDescent="0.3">
      <c r="C185" s="157"/>
      <c r="D185" s="157"/>
      <c r="E185" s="157"/>
      <c r="F185" s="157"/>
      <c r="G185" s="157"/>
      <c r="H185" s="157"/>
      <c r="I185" s="157"/>
    </row>
    <row r="186" spans="3:9" ht="14.4" customHeight="1" x14ac:dyDescent="0.3">
      <c r="C186" s="157"/>
      <c r="D186" s="157"/>
      <c r="E186" s="157"/>
      <c r="F186" s="157"/>
      <c r="G186" s="157"/>
      <c r="H186" s="157"/>
      <c r="I186" s="157"/>
    </row>
    <row r="187" spans="3:9" ht="14.4" customHeight="1" x14ac:dyDescent="0.3">
      <c r="C187" s="157"/>
      <c r="D187" s="157"/>
      <c r="E187" s="157"/>
      <c r="F187" s="157"/>
      <c r="G187" s="157"/>
      <c r="H187" s="157"/>
      <c r="I187" s="157"/>
    </row>
    <row r="188" spans="3:9" ht="14.4" customHeight="1" x14ac:dyDescent="0.3">
      <c r="C188" s="157"/>
      <c r="D188" s="157"/>
      <c r="E188" s="157"/>
      <c r="F188" s="157"/>
      <c r="G188" s="157"/>
      <c r="H188" s="157"/>
      <c r="I188" s="157"/>
    </row>
    <row r="189" spans="3:9" ht="14.4" customHeight="1" x14ac:dyDescent="0.3">
      <c r="C189" s="157"/>
      <c r="D189" s="157"/>
      <c r="E189" s="157"/>
      <c r="F189" s="157"/>
      <c r="G189" s="157"/>
      <c r="H189" s="157"/>
      <c r="I189" s="157"/>
    </row>
    <row r="190" spans="3:9" ht="14.4" customHeight="1" x14ac:dyDescent="0.3">
      <c r="C190" s="157"/>
      <c r="D190" s="157"/>
      <c r="E190" s="157"/>
      <c r="F190" s="157"/>
      <c r="G190" s="157"/>
      <c r="H190" s="157"/>
      <c r="I190" s="157"/>
    </row>
    <row r="191" spans="3:9" ht="14.4" customHeight="1" x14ac:dyDescent="0.3">
      <c r="C191" s="157"/>
      <c r="D191" s="157"/>
      <c r="E191" s="157"/>
      <c r="F191" s="157"/>
      <c r="G191" s="157"/>
      <c r="H191" s="157"/>
      <c r="I191" s="157"/>
    </row>
    <row r="192" spans="3:9" ht="14.4" customHeight="1" x14ac:dyDescent="0.3">
      <c r="C192" s="157"/>
      <c r="D192" s="157"/>
      <c r="E192" s="157"/>
      <c r="F192" s="157"/>
      <c r="G192" s="157"/>
      <c r="H192" s="157"/>
      <c r="I192" s="157"/>
    </row>
    <row r="193" spans="3:9" ht="14.4" customHeight="1" x14ac:dyDescent="0.3">
      <c r="C193" s="157"/>
      <c r="D193" s="157"/>
      <c r="E193" s="157"/>
      <c r="F193" s="157"/>
      <c r="G193" s="157"/>
      <c r="H193" s="157"/>
      <c r="I193" s="157"/>
    </row>
    <row r="194" spans="3:9" ht="14.4" customHeight="1" x14ac:dyDescent="0.3">
      <c r="C194" s="157"/>
      <c r="D194" s="157"/>
      <c r="E194" s="157"/>
      <c r="F194" s="157"/>
      <c r="G194" s="157"/>
      <c r="H194" s="157"/>
      <c r="I194" s="157"/>
    </row>
    <row r="195" spans="3:9" ht="14.4" customHeight="1" x14ac:dyDescent="0.3">
      <c r="C195" s="157"/>
      <c r="D195" s="157"/>
      <c r="E195" s="157"/>
      <c r="F195" s="157"/>
      <c r="G195" s="157"/>
      <c r="H195" s="157"/>
      <c r="I195" s="157"/>
    </row>
    <row r="196" spans="3:9" ht="14.4" customHeight="1" x14ac:dyDescent="0.3">
      <c r="C196" s="157"/>
      <c r="D196" s="157"/>
      <c r="E196" s="157"/>
      <c r="F196" s="157"/>
      <c r="G196" s="157"/>
      <c r="H196" s="157"/>
      <c r="I196" s="157"/>
    </row>
    <row r="197" spans="3:9" ht="14.4" customHeight="1" x14ac:dyDescent="0.3">
      <c r="C197" s="157"/>
      <c r="D197" s="157"/>
      <c r="E197" s="157"/>
      <c r="F197" s="157"/>
      <c r="G197" s="157"/>
      <c r="H197" s="157"/>
      <c r="I197" s="157"/>
    </row>
    <row r="198" spans="3:9" ht="14.4" customHeight="1" x14ac:dyDescent="0.3">
      <c r="C198" s="157"/>
      <c r="D198" s="157"/>
      <c r="E198" s="157"/>
      <c r="F198" s="157"/>
      <c r="G198" s="157"/>
      <c r="H198" s="157"/>
      <c r="I198" s="157"/>
    </row>
    <row r="199" spans="3:9" ht="14.4" customHeight="1" x14ac:dyDescent="0.3">
      <c r="C199" s="157"/>
      <c r="D199" s="157"/>
      <c r="E199" s="157"/>
      <c r="F199" s="157"/>
      <c r="G199" s="157"/>
      <c r="H199" s="157"/>
      <c r="I199" s="157"/>
    </row>
    <row r="200" spans="3:9" ht="14.4" customHeight="1" x14ac:dyDescent="0.3">
      <c r="C200" s="157"/>
      <c r="D200" s="157"/>
      <c r="E200" s="157"/>
      <c r="F200" s="157"/>
      <c r="G200" s="157"/>
      <c r="H200" s="157"/>
      <c r="I200" s="157"/>
    </row>
    <row r="201" spans="3:9" ht="14.4" customHeight="1" x14ac:dyDescent="0.3">
      <c r="C201" s="157"/>
      <c r="D201" s="157"/>
      <c r="E201" s="157"/>
      <c r="F201" s="157"/>
      <c r="G201" s="157"/>
      <c r="H201" s="157"/>
      <c r="I201" s="157"/>
    </row>
    <row r="202" spans="3:9" ht="14.4" customHeight="1" x14ac:dyDescent="0.3">
      <c r="C202" s="157"/>
      <c r="D202" s="157"/>
      <c r="E202" s="157"/>
      <c r="F202" s="157"/>
      <c r="G202" s="157"/>
      <c r="H202" s="157"/>
      <c r="I202" s="157"/>
    </row>
    <row r="203" spans="3:9" ht="14.4" customHeight="1" x14ac:dyDescent="0.3">
      <c r="C203" s="157"/>
      <c r="D203" s="157"/>
      <c r="E203" s="157"/>
      <c r="F203" s="157"/>
      <c r="G203" s="157"/>
      <c r="H203" s="157"/>
      <c r="I203" s="157"/>
    </row>
    <row r="204" spans="3:9" ht="14.4" customHeight="1" x14ac:dyDescent="0.3">
      <c r="C204" s="157"/>
      <c r="D204" s="157"/>
      <c r="E204" s="157"/>
      <c r="F204" s="157"/>
      <c r="G204" s="157"/>
      <c r="H204" s="157"/>
      <c r="I204" s="157"/>
    </row>
    <row r="205" spans="3:9" ht="14.4" customHeight="1" x14ac:dyDescent="0.3">
      <c r="C205" s="157"/>
      <c r="D205" s="157"/>
      <c r="E205" s="157"/>
      <c r="F205" s="157"/>
      <c r="G205" s="157"/>
      <c r="H205" s="157"/>
      <c r="I205" s="157"/>
    </row>
    <row r="206" spans="3:9" ht="14.4" customHeight="1" x14ac:dyDescent="0.3">
      <c r="C206" s="157"/>
      <c r="D206" s="157"/>
      <c r="E206" s="157"/>
      <c r="F206" s="157"/>
      <c r="G206" s="157"/>
      <c r="H206" s="157"/>
      <c r="I206" s="157"/>
    </row>
    <row r="207" spans="3:9" ht="14.4" customHeight="1" x14ac:dyDescent="0.3">
      <c r="C207" s="157"/>
      <c r="D207" s="157"/>
      <c r="E207" s="157"/>
      <c r="F207" s="157"/>
      <c r="G207" s="157"/>
      <c r="H207" s="157"/>
      <c r="I207" s="157"/>
    </row>
    <row r="208" spans="3:9" ht="14.4" customHeight="1" x14ac:dyDescent="0.3">
      <c r="C208" s="157"/>
      <c r="D208" s="157"/>
      <c r="E208" s="157"/>
      <c r="F208" s="157"/>
      <c r="G208" s="157"/>
      <c r="H208" s="157"/>
      <c r="I208" s="157"/>
    </row>
    <row r="209" spans="3:9" ht="14.4" customHeight="1" x14ac:dyDescent="0.3">
      <c r="C209" s="157"/>
      <c r="D209" s="157"/>
      <c r="E209" s="157"/>
      <c r="F209" s="157"/>
      <c r="G209" s="157"/>
      <c r="H209" s="157"/>
      <c r="I209" s="157"/>
    </row>
    <row r="210" spans="3:9" ht="14.4" customHeight="1" x14ac:dyDescent="0.3">
      <c r="C210" s="157"/>
      <c r="D210" s="157"/>
      <c r="E210" s="157"/>
      <c r="F210" s="157"/>
      <c r="G210" s="157"/>
      <c r="H210" s="157"/>
      <c r="I210" s="157"/>
    </row>
    <row r="211" spans="3:9" ht="14.4" customHeight="1" x14ac:dyDescent="0.3">
      <c r="C211" s="157"/>
      <c r="D211" s="157"/>
      <c r="E211" s="157"/>
      <c r="F211" s="157"/>
      <c r="G211" s="157"/>
      <c r="H211" s="157"/>
      <c r="I211" s="157"/>
    </row>
    <row r="212" spans="3:9" ht="14.4" customHeight="1" x14ac:dyDescent="0.3">
      <c r="C212" s="157"/>
      <c r="D212" s="157"/>
      <c r="E212" s="157"/>
      <c r="F212" s="157"/>
      <c r="G212" s="157"/>
      <c r="H212" s="157"/>
      <c r="I212" s="157"/>
    </row>
    <row r="213" spans="3:9" ht="14.4" customHeight="1" x14ac:dyDescent="0.3">
      <c r="C213" s="157"/>
      <c r="D213" s="157"/>
      <c r="E213" s="157"/>
      <c r="F213" s="157"/>
      <c r="G213" s="157"/>
      <c r="H213" s="157"/>
      <c r="I213" s="157"/>
    </row>
    <row r="214" spans="3:9" ht="14.4" customHeight="1" x14ac:dyDescent="0.3">
      <c r="C214" s="157"/>
      <c r="D214" s="157"/>
      <c r="E214" s="157"/>
      <c r="F214" s="157"/>
      <c r="G214" s="157"/>
      <c r="H214" s="157"/>
      <c r="I214" s="157"/>
    </row>
    <row r="215" spans="3:9" ht="14.4" customHeight="1" x14ac:dyDescent="0.3">
      <c r="C215" s="157"/>
      <c r="D215" s="157"/>
      <c r="E215" s="157"/>
      <c r="F215" s="157"/>
      <c r="G215" s="157"/>
      <c r="H215" s="157"/>
      <c r="I215" s="157"/>
    </row>
    <row r="216" spans="3:9" ht="14.4" customHeight="1" x14ac:dyDescent="0.3">
      <c r="C216" s="157"/>
      <c r="D216" s="157"/>
      <c r="E216" s="157"/>
      <c r="F216" s="157"/>
      <c r="G216" s="157"/>
      <c r="H216" s="157"/>
      <c r="I216" s="157"/>
    </row>
    <row r="217" spans="3:9" ht="14.4" customHeight="1" x14ac:dyDescent="0.3">
      <c r="C217" s="157"/>
      <c r="D217" s="157"/>
      <c r="E217" s="157"/>
      <c r="F217" s="157"/>
      <c r="G217" s="157"/>
      <c r="H217" s="157"/>
      <c r="I217" s="157"/>
    </row>
    <row r="218" spans="3:9" ht="14.4" customHeight="1" x14ac:dyDescent="0.3">
      <c r="C218" s="157"/>
      <c r="D218" s="157"/>
      <c r="E218" s="157"/>
      <c r="F218" s="157"/>
      <c r="G218" s="157"/>
      <c r="H218" s="157"/>
      <c r="I218" s="157"/>
    </row>
    <row r="219" spans="3:9" ht="14.4" customHeight="1" x14ac:dyDescent="0.3">
      <c r="C219" s="157"/>
      <c r="D219" s="157"/>
      <c r="E219" s="157"/>
      <c r="F219" s="157"/>
      <c r="G219" s="157"/>
      <c r="H219" s="157"/>
      <c r="I219" s="157"/>
    </row>
    <row r="220" spans="3:9" ht="14.4" customHeight="1" x14ac:dyDescent="0.3">
      <c r="C220" s="157"/>
      <c r="D220" s="157"/>
      <c r="E220" s="157"/>
      <c r="F220" s="157"/>
      <c r="G220" s="157"/>
      <c r="H220" s="157"/>
      <c r="I220" s="157"/>
    </row>
    <row r="221" spans="3:9" ht="14.4" customHeight="1" x14ac:dyDescent="0.3">
      <c r="C221" s="157"/>
      <c r="D221" s="157"/>
      <c r="E221" s="157"/>
      <c r="F221" s="157"/>
      <c r="G221" s="157"/>
      <c r="H221" s="157"/>
      <c r="I221" s="157"/>
    </row>
    <row r="222" spans="3:9" ht="14.4" customHeight="1" x14ac:dyDescent="0.3">
      <c r="C222" s="157"/>
      <c r="D222" s="157"/>
      <c r="E222" s="157"/>
      <c r="F222" s="157"/>
      <c r="G222" s="157"/>
      <c r="H222" s="157"/>
      <c r="I222" s="157"/>
    </row>
    <row r="223" spans="3:9" ht="14.4" customHeight="1" x14ac:dyDescent="0.3">
      <c r="C223" s="157"/>
      <c r="D223" s="157"/>
      <c r="E223" s="157"/>
      <c r="F223" s="157"/>
      <c r="G223" s="157"/>
      <c r="H223" s="157"/>
      <c r="I223" s="157"/>
    </row>
    <row r="224" spans="3:9" ht="14.4" customHeight="1" x14ac:dyDescent="0.3">
      <c r="C224" s="157"/>
      <c r="D224" s="157"/>
      <c r="E224" s="157"/>
      <c r="F224" s="157"/>
      <c r="G224" s="157"/>
      <c r="H224" s="157"/>
      <c r="I224" s="157"/>
    </row>
    <row r="225" spans="3:9" ht="14.4" customHeight="1" x14ac:dyDescent="0.3">
      <c r="C225" s="157"/>
      <c r="D225" s="157"/>
      <c r="E225" s="157"/>
      <c r="F225" s="157"/>
      <c r="G225" s="157"/>
      <c r="H225" s="157"/>
      <c r="I225" s="157"/>
    </row>
    <row r="226" spans="3:9" ht="14.4" customHeight="1" x14ac:dyDescent="0.3">
      <c r="C226" s="157"/>
      <c r="D226" s="157"/>
      <c r="E226" s="157"/>
      <c r="F226" s="157"/>
      <c r="G226" s="157"/>
      <c r="H226" s="157"/>
      <c r="I226" s="157"/>
    </row>
    <row r="227" spans="3:9" ht="14.4" customHeight="1" x14ac:dyDescent="0.3">
      <c r="C227" s="157"/>
      <c r="D227" s="157"/>
      <c r="E227" s="157"/>
      <c r="F227" s="157"/>
      <c r="G227" s="157"/>
      <c r="H227" s="157"/>
      <c r="I227" s="157"/>
    </row>
    <row r="228" spans="3:9" ht="14.4" customHeight="1" x14ac:dyDescent="0.3">
      <c r="C228" s="157"/>
      <c r="D228" s="157"/>
      <c r="E228" s="157"/>
      <c r="F228" s="157"/>
      <c r="G228" s="157"/>
      <c r="H228" s="157"/>
      <c r="I228" s="157"/>
    </row>
    <row r="229" spans="3:9" ht="14.4" customHeight="1" x14ac:dyDescent="0.3">
      <c r="C229" s="157"/>
      <c r="D229" s="157"/>
      <c r="E229" s="157"/>
      <c r="F229" s="157"/>
      <c r="G229" s="157"/>
      <c r="H229" s="157"/>
      <c r="I229" s="157"/>
    </row>
    <row r="230" spans="3:9" ht="14.4" customHeight="1" x14ac:dyDescent="0.3">
      <c r="C230" s="157"/>
      <c r="D230" s="157"/>
      <c r="E230" s="157"/>
      <c r="F230" s="157"/>
      <c r="G230" s="157"/>
      <c r="H230" s="157"/>
      <c r="I230" s="157"/>
    </row>
    <row r="231" spans="3:9" ht="14.4" customHeight="1" x14ac:dyDescent="0.3">
      <c r="C231" s="157"/>
      <c r="D231" s="157"/>
      <c r="E231" s="157"/>
      <c r="F231" s="157"/>
      <c r="G231" s="157"/>
      <c r="H231" s="157"/>
      <c r="I231" s="157"/>
    </row>
    <row r="232" spans="3:9" ht="14.4" customHeight="1" x14ac:dyDescent="0.3">
      <c r="C232" s="157"/>
      <c r="D232" s="157"/>
      <c r="E232" s="157"/>
      <c r="F232" s="157"/>
      <c r="G232" s="157"/>
      <c r="H232" s="157"/>
      <c r="I232" s="157"/>
    </row>
    <row r="233" spans="3:9" ht="14.4" customHeight="1" x14ac:dyDescent="0.3">
      <c r="C233" s="157"/>
      <c r="D233" s="157"/>
      <c r="E233" s="157"/>
      <c r="F233" s="157"/>
      <c r="G233" s="157"/>
      <c r="H233" s="157"/>
      <c r="I233" s="157"/>
    </row>
    <row r="234" spans="3:9" ht="14.4" customHeight="1" x14ac:dyDescent="0.3">
      <c r="C234" s="157"/>
      <c r="D234" s="157"/>
      <c r="E234" s="157"/>
      <c r="F234" s="157"/>
      <c r="G234" s="157"/>
      <c r="H234" s="157"/>
      <c r="I234" s="157"/>
    </row>
    <row r="235" spans="3:9" ht="14.4" customHeight="1" x14ac:dyDescent="0.3">
      <c r="C235" s="157"/>
      <c r="D235" s="157"/>
      <c r="E235" s="157"/>
      <c r="F235" s="157"/>
      <c r="G235" s="157"/>
      <c r="H235" s="157"/>
      <c r="I235" s="157"/>
    </row>
    <row r="236" spans="3:9" ht="14.4" customHeight="1" x14ac:dyDescent="0.3">
      <c r="C236" s="157"/>
      <c r="D236" s="157"/>
      <c r="E236" s="157"/>
      <c r="F236" s="157"/>
      <c r="G236" s="157"/>
      <c r="H236" s="157"/>
      <c r="I236" s="157"/>
    </row>
    <row r="237" spans="3:9" ht="14.4" customHeight="1" x14ac:dyDescent="0.3">
      <c r="C237" s="157"/>
      <c r="D237" s="157"/>
      <c r="E237" s="157"/>
      <c r="F237" s="157"/>
      <c r="G237" s="157"/>
      <c r="H237" s="157"/>
      <c r="I237" s="157"/>
    </row>
    <row r="238" spans="3:9" ht="14.4" customHeight="1" x14ac:dyDescent="0.3">
      <c r="C238" s="157"/>
      <c r="D238" s="157"/>
      <c r="E238" s="157"/>
      <c r="F238" s="157"/>
      <c r="G238" s="157"/>
      <c r="H238" s="157"/>
      <c r="I238" s="157"/>
    </row>
    <row r="239" spans="3:9" ht="14.4" customHeight="1" x14ac:dyDescent="0.3">
      <c r="C239" s="157"/>
      <c r="D239" s="157"/>
      <c r="E239" s="157"/>
      <c r="F239" s="157"/>
      <c r="G239" s="157"/>
      <c r="H239" s="157"/>
      <c r="I239" s="157"/>
    </row>
    <row r="240" spans="3:9" ht="14.4" customHeight="1" x14ac:dyDescent="0.3">
      <c r="C240" s="157"/>
      <c r="D240" s="157"/>
      <c r="E240" s="157"/>
      <c r="F240" s="157"/>
      <c r="G240" s="157"/>
      <c r="H240" s="157"/>
      <c r="I240" s="157"/>
    </row>
    <row r="241" spans="3:9" ht="14.4" customHeight="1" x14ac:dyDescent="0.3">
      <c r="C241" s="157"/>
      <c r="D241" s="157"/>
      <c r="E241" s="157"/>
      <c r="F241" s="157"/>
      <c r="G241" s="157"/>
      <c r="H241" s="157"/>
      <c r="I241" s="157"/>
    </row>
    <row r="242" spans="3:9" ht="14.4" customHeight="1" x14ac:dyDescent="0.3">
      <c r="C242" s="157"/>
      <c r="D242" s="157"/>
      <c r="E242" s="157"/>
      <c r="F242" s="157"/>
      <c r="G242" s="157"/>
      <c r="H242" s="157"/>
      <c r="I242" s="157"/>
    </row>
    <row r="243" spans="3:9" ht="14.4" customHeight="1" x14ac:dyDescent="0.3">
      <c r="C243" s="157"/>
      <c r="D243" s="157"/>
      <c r="E243" s="157"/>
      <c r="F243" s="157"/>
      <c r="G243" s="157"/>
      <c r="H243" s="157"/>
      <c r="I243" s="157"/>
    </row>
    <row r="244" spans="3:9" ht="14.4" customHeight="1" x14ac:dyDescent="0.3">
      <c r="C244" s="157"/>
      <c r="D244" s="157"/>
      <c r="E244" s="157"/>
      <c r="F244" s="157"/>
      <c r="G244" s="157"/>
      <c r="H244" s="157"/>
      <c r="I244" s="157"/>
    </row>
    <row r="245" spans="3:9" ht="14.4" customHeight="1" x14ac:dyDescent="0.3">
      <c r="C245" s="157"/>
      <c r="D245" s="157"/>
      <c r="E245" s="157"/>
      <c r="F245" s="157"/>
      <c r="G245" s="157"/>
      <c r="H245" s="157"/>
      <c r="I245" s="157"/>
    </row>
    <row r="246" spans="3:9" ht="14.4" customHeight="1" x14ac:dyDescent="0.3">
      <c r="C246" s="157"/>
      <c r="D246" s="157"/>
      <c r="E246" s="157"/>
      <c r="F246" s="157"/>
      <c r="G246" s="157"/>
      <c r="H246" s="157"/>
      <c r="I246" s="157"/>
    </row>
    <row r="247" spans="3:9" ht="14.4" customHeight="1" x14ac:dyDescent="0.3">
      <c r="C247" s="157"/>
      <c r="D247" s="157"/>
      <c r="E247" s="157"/>
      <c r="F247" s="157"/>
      <c r="G247" s="157"/>
      <c r="H247" s="157"/>
      <c r="I247" s="157"/>
    </row>
    <row r="248" spans="3:9" ht="14.4" customHeight="1" x14ac:dyDescent="0.3">
      <c r="C248" s="157"/>
      <c r="D248" s="157"/>
      <c r="E248" s="157"/>
      <c r="F248" s="157"/>
      <c r="G248" s="157"/>
      <c r="H248" s="157"/>
      <c r="I248" s="157"/>
    </row>
    <row r="249" spans="3:9" ht="14.4" customHeight="1" x14ac:dyDescent="0.3">
      <c r="C249" s="157"/>
      <c r="D249" s="157"/>
      <c r="E249" s="157"/>
      <c r="F249" s="157"/>
      <c r="G249" s="157"/>
      <c r="H249" s="157"/>
      <c r="I249" s="157"/>
    </row>
    <row r="250" spans="3:9" ht="14.4" customHeight="1" x14ac:dyDescent="0.3">
      <c r="C250" s="157"/>
      <c r="D250" s="157"/>
      <c r="E250" s="157"/>
      <c r="F250" s="157"/>
      <c r="G250" s="157"/>
      <c r="H250" s="157"/>
      <c r="I250" s="157"/>
    </row>
    <row r="251" spans="3:9" ht="14.4" customHeight="1" x14ac:dyDescent="0.3">
      <c r="C251" s="157"/>
      <c r="D251" s="157"/>
      <c r="E251" s="157"/>
      <c r="F251" s="157"/>
      <c r="G251" s="157"/>
      <c r="H251" s="157"/>
      <c r="I251" s="157"/>
    </row>
    <row r="252" spans="3:9" ht="14.4" customHeight="1" x14ac:dyDescent="0.3">
      <c r="C252" s="157"/>
      <c r="D252" s="157"/>
      <c r="E252" s="157"/>
      <c r="F252" s="157"/>
      <c r="G252" s="157"/>
      <c r="H252" s="157"/>
      <c r="I252" s="157"/>
    </row>
    <row r="253" spans="3:9" ht="14.4" customHeight="1" x14ac:dyDescent="0.3">
      <c r="C253" s="157"/>
      <c r="D253" s="157"/>
      <c r="E253" s="157"/>
      <c r="F253" s="157"/>
      <c r="G253" s="157"/>
      <c r="H253" s="157"/>
      <c r="I253" s="157"/>
    </row>
    <row r="254" spans="3:9" ht="14.4" customHeight="1" x14ac:dyDescent="0.3">
      <c r="C254" s="157"/>
      <c r="D254" s="157"/>
      <c r="E254" s="157"/>
      <c r="F254" s="157"/>
      <c r="G254" s="157"/>
      <c r="H254" s="157"/>
      <c r="I254" s="157"/>
    </row>
    <row r="255" spans="3:9" ht="14.4" customHeight="1" x14ac:dyDescent="0.3">
      <c r="C255" s="157"/>
      <c r="D255" s="157"/>
      <c r="E255" s="157"/>
      <c r="F255" s="157"/>
      <c r="G255" s="157"/>
      <c r="H255" s="157"/>
      <c r="I255" s="157"/>
    </row>
    <row r="256" spans="3:9" ht="14.4" customHeight="1" x14ac:dyDescent="0.3">
      <c r="C256" s="157"/>
      <c r="D256" s="157"/>
      <c r="E256" s="157"/>
      <c r="F256" s="157"/>
      <c r="G256" s="157"/>
      <c r="H256" s="157"/>
      <c r="I256" s="157"/>
    </row>
    <row r="257" spans="3:9" ht="14.4" customHeight="1" x14ac:dyDescent="0.3">
      <c r="C257" s="157"/>
      <c r="D257" s="157"/>
      <c r="E257" s="157"/>
      <c r="F257" s="157"/>
      <c r="G257" s="157"/>
      <c r="H257" s="157"/>
      <c r="I257" s="157"/>
    </row>
    <row r="258" spans="3:9" ht="14.4" customHeight="1" x14ac:dyDescent="0.3">
      <c r="C258" s="157"/>
      <c r="D258" s="157"/>
      <c r="E258" s="157"/>
      <c r="F258" s="157"/>
      <c r="G258" s="157"/>
      <c r="H258" s="157"/>
      <c r="I258" s="157"/>
    </row>
    <row r="259" spans="3:9" ht="14.4" customHeight="1" x14ac:dyDescent="0.3">
      <c r="C259" s="157"/>
      <c r="D259" s="157"/>
      <c r="E259" s="157"/>
      <c r="F259" s="157"/>
      <c r="G259" s="157"/>
      <c r="H259" s="157"/>
      <c r="I259" s="157"/>
    </row>
    <row r="260" spans="3:9" ht="14.4" customHeight="1" x14ac:dyDescent="0.3">
      <c r="C260" s="157"/>
      <c r="D260" s="157"/>
      <c r="E260" s="157"/>
      <c r="F260" s="157"/>
      <c r="G260" s="157"/>
      <c r="H260" s="157"/>
      <c r="I260" s="157"/>
    </row>
    <row r="261" spans="3:9" ht="14.4" customHeight="1" x14ac:dyDescent="0.3">
      <c r="C261" s="157"/>
      <c r="D261" s="157"/>
      <c r="E261" s="157"/>
      <c r="F261" s="157"/>
      <c r="G261" s="157"/>
      <c r="H261" s="157"/>
      <c r="I261" s="157"/>
    </row>
    <row r="262" spans="3:9" ht="14.4" customHeight="1" x14ac:dyDescent="0.3">
      <c r="C262" s="157"/>
      <c r="D262" s="157"/>
      <c r="E262" s="157"/>
      <c r="F262" s="157"/>
      <c r="G262" s="157"/>
      <c r="H262" s="157"/>
      <c r="I262" s="157"/>
    </row>
    <row r="263" spans="3:9" ht="14.4" customHeight="1" x14ac:dyDescent="0.3">
      <c r="C263" s="157"/>
      <c r="D263" s="157"/>
      <c r="E263" s="157"/>
      <c r="F263" s="157"/>
      <c r="G263" s="157"/>
      <c r="H263" s="157"/>
      <c r="I263" s="157"/>
    </row>
    <row r="264" spans="3:9" ht="14.4" customHeight="1" x14ac:dyDescent="0.3">
      <c r="C264" s="157"/>
      <c r="D264" s="157"/>
      <c r="E264" s="157"/>
      <c r="F264" s="157"/>
      <c r="G264" s="157"/>
      <c r="H264" s="157"/>
      <c r="I264" s="157"/>
    </row>
    <row r="265" spans="3:9" ht="14.4" customHeight="1" x14ac:dyDescent="0.3">
      <c r="C265" s="157"/>
      <c r="D265" s="157"/>
      <c r="E265" s="157"/>
      <c r="F265" s="157"/>
      <c r="G265" s="157"/>
      <c r="H265" s="157"/>
      <c r="I265" s="157"/>
    </row>
    <row r="266" spans="3:9" ht="14.4" customHeight="1" x14ac:dyDescent="0.3">
      <c r="C266" s="157"/>
      <c r="D266" s="157"/>
      <c r="E266" s="157"/>
      <c r="F266" s="157"/>
      <c r="G266" s="157"/>
      <c r="H266" s="157"/>
      <c r="I266" s="157"/>
    </row>
  </sheetData>
  <mergeCells count="4">
    <mergeCell ref="C2:H8"/>
    <mergeCell ref="B1:H1"/>
    <mergeCell ref="C46:I266"/>
    <mergeCell ref="F45:H45"/>
  </mergeCells>
  <dataValidations count="2">
    <dataValidation type="list" allowBlank="1" showInputMessage="1" showErrorMessage="1" sqref="H10:H44" xr:uid="{00000000-0002-0000-0700-000000000000}">
      <formula1>"Espèce,Chèque"</formula1>
    </dataValidation>
    <dataValidation type="list" allowBlank="1" showInputMessage="1" showErrorMessage="1" sqref="D10:D44" xr:uid="{00000000-0002-0000-0700-000001000000}">
      <formula1>"⛽ CARBURANT,🛠️ ENTRETIEN,🔧 REPARATION,🛣️ FRAIS DE ROUTE,💰 SALAIRE,🏅 PRIME,⚙️ AUTRES"</formula1>
    </dataValidation>
  </dataValidations>
  <hyperlinks>
    <hyperlink ref="A2" location="'ACCUEIL'!A1" display="🏠 ACCUEIL" xr:uid="{00000000-0004-0000-0700-000000000000}"/>
    <hyperlink ref="A4" location="'DASHBOARD'!A1" display="📊 DASHBOARD" xr:uid="{00000000-0004-0000-0700-000001000000}"/>
    <hyperlink ref="A5" location="'SUPER-COMPARATIF'!A1" display="🏆 COMPARATIF" xr:uid="{00000000-0004-0000-0700-000002000000}"/>
    <hyperlink ref="A6" location="'CAMION 1'!A1" display="🚚 CAMION 1" xr:uid="{00000000-0004-0000-0700-000003000000}"/>
    <hyperlink ref="A7" location="'CAMION 2'!A1" display="🚚 CAMION 2" xr:uid="{00000000-0004-0000-0700-000004000000}"/>
    <hyperlink ref="A8" location="'CAMION 3'!A1" display="🚚 CAMION 3" xr:uid="{00000000-0004-0000-0700-000005000000}"/>
    <hyperlink ref="A9" location="'CAMION 4'!A1" display="🚚 CAMION 4" xr:uid="{00000000-0004-0000-0700-000006000000}"/>
    <hyperlink ref="A10" location="'CAMION 5'!A1" display="🚚 CAMION 5" xr:uid="{00000000-0004-0000-0700-000007000000}"/>
    <hyperlink ref="A11" location="'CAMION 5'!A1" display="  🚚 CAMION 5" xr:uid="{00000000-0004-0000-0700-000008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ACCUEIL</vt:lpstr>
      <vt:lpstr>DASHBOARD</vt:lpstr>
      <vt:lpstr>SUPER-COMPARATIF</vt:lpstr>
      <vt:lpstr>CAMION 1</vt:lpstr>
      <vt:lpstr>CAMION 2</vt:lpstr>
      <vt:lpstr>CAMION 3</vt:lpstr>
      <vt:lpstr>CAMION 4</vt:lpstr>
      <vt:lpstr>CAMION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COUMARE</dc:creator>
  <cp:lastModifiedBy>ISSA COUMARE</cp:lastModifiedBy>
  <dcterms:created xsi:type="dcterms:W3CDTF">2026-02-19T10:53:57Z</dcterms:created>
  <dcterms:modified xsi:type="dcterms:W3CDTF">2026-03-27T15:50:17Z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f6004567-0690-4936-8ce2-242ce5bf22f1</vt:lpwstr>
  </property>
</Properties>
</file>